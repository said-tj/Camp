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id\Documents\workspace\CTBC\Posibles_graficas\"/>
    </mc:Choice>
  </mc:AlternateContent>
  <xr:revisionPtr revIDLastSave="0" documentId="13_ncr:1_{1BCA8677-FB04-4BF4-98A8-34AC83F591E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rkA1i6h7tUJnRCbmkAl+FBw5QKlndA4h2rQ2PKmMt0="/>
    </ext>
  </extLst>
</workbook>
</file>

<file path=xl/calcChain.xml><?xml version="1.0" encoding="utf-8"?>
<calcChain xmlns="http://schemas.openxmlformats.org/spreadsheetml/2006/main">
  <c r="T157" i="1" l="1"/>
  <c r="T156" i="1"/>
  <c r="T155" i="1"/>
  <c r="T154" i="1"/>
  <c r="T153" i="1"/>
  <c r="O122" i="1"/>
  <c r="N122" i="1"/>
  <c r="M122" i="1"/>
  <c r="L122" i="1"/>
  <c r="K122" i="1"/>
  <c r="I122" i="1"/>
  <c r="AD121" i="1"/>
  <c r="AC121" i="1"/>
  <c r="AB121" i="1"/>
  <c r="AA121" i="1"/>
  <c r="Z121" i="1"/>
  <c r="O121" i="1"/>
  <c r="N121" i="1"/>
  <c r="M121" i="1"/>
  <c r="L121" i="1"/>
  <c r="K121" i="1"/>
  <c r="I121" i="1"/>
  <c r="AS120" i="1"/>
  <c r="AR120" i="1"/>
  <c r="AQ120" i="1"/>
  <c r="AP120" i="1"/>
  <c r="AO120" i="1"/>
  <c r="AM120" i="1"/>
  <c r="AD120" i="1"/>
  <c r="AC120" i="1"/>
  <c r="AB120" i="1"/>
  <c r="AA120" i="1"/>
  <c r="Z120" i="1"/>
  <c r="O120" i="1"/>
  <c r="N120" i="1"/>
  <c r="M120" i="1"/>
  <c r="L120" i="1"/>
  <c r="K120" i="1"/>
  <c r="I120" i="1"/>
  <c r="AS119" i="1"/>
  <c r="AR119" i="1"/>
  <c r="AQ119" i="1"/>
  <c r="AP119" i="1"/>
  <c r="AO119" i="1"/>
  <c r="AM119" i="1"/>
  <c r="AD119" i="1"/>
  <c r="AC119" i="1"/>
  <c r="AB119" i="1"/>
  <c r="AA119" i="1"/>
  <c r="Z119" i="1"/>
  <c r="O119" i="1"/>
  <c r="N119" i="1"/>
  <c r="M119" i="1"/>
  <c r="L119" i="1"/>
  <c r="K119" i="1"/>
  <c r="I119" i="1"/>
  <c r="AS118" i="1"/>
  <c r="AR118" i="1"/>
  <c r="AQ118" i="1"/>
  <c r="AP118" i="1"/>
  <c r="AO118" i="1"/>
  <c r="AM118" i="1"/>
  <c r="AD118" i="1"/>
  <c r="AC118" i="1"/>
  <c r="AB118" i="1"/>
  <c r="AA118" i="1"/>
  <c r="Z118" i="1"/>
  <c r="O118" i="1"/>
  <c r="N118" i="1"/>
  <c r="M118" i="1"/>
  <c r="L118" i="1"/>
  <c r="K118" i="1"/>
  <c r="I118" i="1"/>
  <c r="AS117" i="1"/>
  <c r="AR117" i="1"/>
  <c r="AQ117" i="1"/>
  <c r="AP117" i="1"/>
  <c r="AO117" i="1"/>
  <c r="AM117" i="1"/>
  <c r="AD117" i="1"/>
  <c r="AC117" i="1"/>
  <c r="AB117" i="1"/>
  <c r="AA117" i="1"/>
  <c r="Z117" i="1"/>
  <c r="O117" i="1"/>
  <c r="N117" i="1"/>
  <c r="M117" i="1"/>
  <c r="L117" i="1"/>
  <c r="K117" i="1"/>
  <c r="I117" i="1"/>
  <c r="AS116" i="1"/>
  <c r="AR116" i="1"/>
  <c r="AQ116" i="1"/>
  <c r="AP116" i="1"/>
  <c r="AO116" i="1"/>
  <c r="AM116" i="1"/>
  <c r="AD116" i="1"/>
  <c r="AC116" i="1"/>
  <c r="AB116" i="1"/>
  <c r="AA116" i="1"/>
  <c r="Z116" i="1"/>
  <c r="O116" i="1"/>
  <c r="N116" i="1"/>
  <c r="M116" i="1"/>
  <c r="L116" i="1"/>
  <c r="K116" i="1"/>
  <c r="I116" i="1"/>
  <c r="AS115" i="1"/>
  <c r="AR115" i="1"/>
  <c r="AQ115" i="1"/>
  <c r="AP115" i="1"/>
  <c r="AO115" i="1"/>
  <c r="AM115" i="1"/>
  <c r="AD115" i="1"/>
  <c r="AC115" i="1"/>
  <c r="AB115" i="1"/>
  <c r="AA115" i="1"/>
  <c r="Z115" i="1"/>
  <c r="O115" i="1"/>
  <c r="N115" i="1"/>
  <c r="M115" i="1"/>
  <c r="L115" i="1"/>
  <c r="K115" i="1"/>
  <c r="AS114" i="1"/>
  <c r="AR114" i="1"/>
  <c r="AQ114" i="1"/>
  <c r="AP114" i="1"/>
  <c r="AO114" i="1"/>
  <c r="AM114" i="1"/>
  <c r="AD114" i="1"/>
  <c r="AC114" i="1"/>
  <c r="AB114" i="1"/>
  <c r="AA114" i="1"/>
  <c r="Z114" i="1"/>
  <c r="O114" i="1"/>
  <c r="N114" i="1"/>
  <c r="M114" i="1"/>
  <c r="L114" i="1"/>
  <c r="K114" i="1"/>
  <c r="I114" i="1"/>
  <c r="AS113" i="1"/>
  <c r="AR113" i="1"/>
  <c r="AQ113" i="1"/>
  <c r="AP113" i="1"/>
  <c r="AO113" i="1"/>
  <c r="AD113" i="1"/>
  <c r="AC113" i="1"/>
  <c r="AB113" i="1"/>
  <c r="AA113" i="1"/>
  <c r="Z113" i="1"/>
  <c r="O113" i="1"/>
  <c r="N113" i="1"/>
  <c r="M113" i="1"/>
  <c r="L113" i="1"/>
  <c r="K113" i="1"/>
  <c r="I113" i="1"/>
  <c r="AS112" i="1"/>
  <c r="AR112" i="1"/>
  <c r="AQ112" i="1"/>
  <c r="AP112" i="1"/>
  <c r="AO112" i="1"/>
  <c r="AM112" i="1"/>
  <c r="AD112" i="1"/>
  <c r="AC112" i="1"/>
  <c r="AB112" i="1"/>
  <c r="AA112" i="1"/>
  <c r="Z112" i="1"/>
  <c r="O112" i="1"/>
  <c r="N112" i="1"/>
  <c r="M112" i="1"/>
  <c r="L112" i="1"/>
  <c r="K112" i="1"/>
  <c r="I112" i="1"/>
  <c r="AS111" i="1"/>
  <c r="AR111" i="1"/>
  <c r="AQ111" i="1"/>
  <c r="AP111" i="1"/>
  <c r="AO111" i="1"/>
  <c r="AM111" i="1"/>
  <c r="AD111" i="1"/>
  <c r="AC111" i="1"/>
  <c r="AB111" i="1"/>
  <c r="AA111" i="1"/>
  <c r="Z111" i="1"/>
  <c r="O111" i="1"/>
  <c r="N111" i="1"/>
  <c r="M111" i="1"/>
  <c r="L111" i="1"/>
  <c r="K111" i="1"/>
  <c r="I111" i="1"/>
  <c r="AS110" i="1"/>
  <c r="AR110" i="1"/>
  <c r="AQ110" i="1"/>
  <c r="AP110" i="1"/>
  <c r="AO110" i="1"/>
  <c r="AM110" i="1"/>
  <c r="AD110" i="1"/>
  <c r="AC110" i="1"/>
  <c r="AB110" i="1"/>
  <c r="AA110" i="1"/>
  <c r="Z110" i="1"/>
  <c r="X110" i="1"/>
  <c r="O110" i="1"/>
  <c r="N110" i="1"/>
  <c r="M110" i="1"/>
  <c r="L110" i="1"/>
  <c r="K110" i="1"/>
  <c r="I110" i="1"/>
  <c r="AS109" i="1"/>
  <c r="AR109" i="1"/>
  <c r="AQ109" i="1"/>
  <c r="AP109" i="1"/>
  <c r="AO109" i="1"/>
  <c r="AM109" i="1"/>
  <c r="AD109" i="1"/>
  <c r="AC109" i="1"/>
  <c r="AB109" i="1"/>
  <c r="AA109" i="1"/>
  <c r="Z109" i="1"/>
  <c r="X109" i="1"/>
  <c r="O109" i="1"/>
  <c r="N109" i="1"/>
  <c r="M109" i="1"/>
  <c r="L109" i="1"/>
  <c r="K109" i="1"/>
  <c r="I109" i="1"/>
  <c r="AS108" i="1"/>
  <c r="AR108" i="1"/>
  <c r="AQ108" i="1"/>
  <c r="AP108" i="1"/>
  <c r="AO108" i="1"/>
  <c r="AM108" i="1"/>
  <c r="AD108" i="1"/>
  <c r="AC108" i="1"/>
  <c r="AB108" i="1"/>
  <c r="AA108" i="1"/>
  <c r="Z108" i="1"/>
  <c r="X108" i="1"/>
  <c r="O108" i="1"/>
  <c r="N108" i="1"/>
  <c r="M108" i="1"/>
  <c r="L108" i="1"/>
  <c r="K108" i="1"/>
  <c r="I108" i="1"/>
  <c r="AS107" i="1"/>
  <c r="AR107" i="1"/>
  <c r="AQ107" i="1"/>
  <c r="AP107" i="1"/>
  <c r="AO107" i="1"/>
  <c r="AM107" i="1"/>
  <c r="AD107" i="1"/>
  <c r="AC107" i="1"/>
  <c r="AB107" i="1"/>
  <c r="AA107" i="1"/>
  <c r="Z107" i="1"/>
  <c r="X107" i="1"/>
  <c r="O107" i="1"/>
  <c r="N107" i="1"/>
  <c r="M107" i="1"/>
  <c r="L107" i="1"/>
  <c r="K107" i="1"/>
  <c r="AS106" i="1"/>
  <c r="AR106" i="1"/>
  <c r="AQ106" i="1"/>
  <c r="AP106" i="1"/>
  <c r="AO106" i="1"/>
  <c r="AM106" i="1"/>
  <c r="AD106" i="1"/>
  <c r="AC106" i="1"/>
  <c r="O106" i="1"/>
  <c r="N106" i="1"/>
  <c r="M106" i="1"/>
  <c r="L106" i="1"/>
  <c r="K106" i="1"/>
  <c r="AS105" i="1"/>
  <c r="AR105" i="1"/>
  <c r="AQ105" i="1"/>
  <c r="AP105" i="1"/>
  <c r="AO105" i="1"/>
  <c r="AD105" i="1"/>
  <c r="AC105" i="1"/>
  <c r="AB105" i="1"/>
  <c r="AA105" i="1"/>
  <c r="Z105" i="1"/>
  <c r="O105" i="1"/>
  <c r="N105" i="1"/>
  <c r="M105" i="1"/>
  <c r="L105" i="1"/>
  <c r="K105" i="1"/>
  <c r="I105" i="1"/>
  <c r="AS104" i="1"/>
  <c r="AR104" i="1"/>
  <c r="AQ104" i="1"/>
  <c r="AP104" i="1"/>
  <c r="AO104" i="1"/>
  <c r="AD104" i="1"/>
  <c r="AC104" i="1"/>
  <c r="AB104" i="1"/>
  <c r="AA104" i="1"/>
  <c r="Z104" i="1"/>
  <c r="X104" i="1"/>
  <c r="O104" i="1"/>
  <c r="N104" i="1"/>
  <c r="M104" i="1"/>
  <c r="L104" i="1"/>
  <c r="K104" i="1"/>
  <c r="I104" i="1"/>
  <c r="AS103" i="1"/>
  <c r="AR103" i="1"/>
  <c r="AQ103" i="1"/>
  <c r="AP103" i="1"/>
  <c r="AO103" i="1"/>
  <c r="AM103" i="1"/>
  <c r="AD103" i="1"/>
  <c r="AC103" i="1"/>
  <c r="AB103" i="1"/>
  <c r="AA103" i="1"/>
  <c r="Z103" i="1"/>
  <c r="X103" i="1"/>
  <c r="O103" i="1"/>
  <c r="N103" i="1"/>
  <c r="M103" i="1"/>
  <c r="L103" i="1"/>
  <c r="K103" i="1"/>
  <c r="I103" i="1"/>
  <c r="AS102" i="1"/>
  <c r="AR102" i="1"/>
  <c r="AQ102" i="1"/>
  <c r="AP102" i="1"/>
  <c r="AO102" i="1"/>
  <c r="AM102" i="1"/>
  <c r="AD102" i="1"/>
  <c r="AC102" i="1"/>
  <c r="AB102" i="1"/>
  <c r="AA102" i="1"/>
  <c r="Z102" i="1"/>
  <c r="X102" i="1"/>
  <c r="O102" i="1"/>
  <c r="N102" i="1"/>
  <c r="M102" i="1"/>
  <c r="L102" i="1"/>
  <c r="K102" i="1"/>
  <c r="I102" i="1"/>
  <c r="AS101" i="1"/>
  <c r="AR101" i="1"/>
  <c r="AQ101" i="1"/>
  <c r="AP101" i="1"/>
  <c r="AO101" i="1"/>
  <c r="AM101" i="1"/>
  <c r="AD101" i="1"/>
  <c r="AC101" i="1"/>
  <c r="AB101" i="1"/>
  <c r="AA101" i="1"/>
  <c r="Z101" i="1"/>
  <c r="X101" i="1"/>
  <c r="O101" i="1"/>
  <c r="N101" i="1"/>
  <c r="M101" i="1"/>
  <c r="L101" i="1"/>
  <c r="K101" i="1"/>
  <c r="I101" i="1"/>
  <c r="AS100" i="1"/>
  <c r="AR100" i="1"/>
  <c r="AQ100" i="1"/>
  <c r="AP100" i="1"/>
  <c r="AO100" i="1"/>
  <c r="AM100" i="1"/>
  <c r="AD100" i="1"/>
  <c r="AC100" i="1"/>
  <c r="AB100" i="1"/>
  <c r="AA100" i="1"/>
  <c r="Z100" i="1"/>
  <c r="X100" i="1"/>
  <c r="O100" i="1"/>
  <c r="N100" i="1"/>
  <c r="M100" i="1"/>
  <c r="L100" i="1"/>
  <c r="K100" i="1"/>
  <c r="I100" i="1"/>
  <c r="AS99" i="1"/>
  <c r="AR99" i="1"/>
  <c r="AQ99" i="1"/>
  <c r="AP99" i="1"/>
  <c r="AO99" i="1"/>
  <c r="AM99" i="1"/>
  <c r="AD99" i="1"/>
  <c r="AC99" i="1"/>
  <c r="AB99" i="1"/>
  <c r="AA99" i="1"/>
  <c r="Z99" i="1"/>
  <c r="X99" i="1"/>
  <c r="O99" i="1"/>
  <c r="N99" i="1"/>
  <c r="M99" i="1"/>
  <c r="L99" i="1"/>
  <c r="K99" i="1"/>
  <c r="I99" i="1"/>
  <c r="AS98" i="1"/>
  <c r="AR98" i="1"/>
  <c r="AQ98" i="1"/>
  <c r="AP98" i="1"/>
  <c r="AO98" i="1"/>
  <c r="AM98" i="1"/>
  <c r="AD98" i="1"/>
  <c r="AC98" i="1"/>
  <c r="AB98" i="1"/>
  <c r="AA98" i="1"/>
  <c r="Z98" i="1"/>
  <c r="X98" i="1"/>
  <c r="O98" i="1"/>
  <c r="N98" i="1"/>
  <c r="M98" i="1"/>
  <c r="L98" i="1"/>
  <c r="K98" i="1"/>
  <c r="AS97" i="1"/>
  <c r="AR97" i="1"/>
  <c r="AQ97" i="1"/>
  <c r="AP97" i="1"/>
  <c r="AO97" i="1"/>
  <c r="AM97" i="1"/>
  <c r="AD97" i="1"/>
  <c r="AC97" i="1"/>
  <c r="AB97" i="1"/>
  <c r="AA97" i="1"/>
  <c r="Z97" i="1"/>
  <c r="O97" i="1"/>
  <c r="N97" i="1"/>
  <c r="M97" i="1"/>
  <c r="L97" i="1"/>
  <c r="K97" i="1"/>
  <c r="I97" i="1"/>
  <c r="AS96" i="1"/>
  <c r="AR96" i="1"/>
  <c r="AQ96" i="1"/>
  <c r="AP96" i="1"/>
  <c r="AO96" i="1"/>
  <c r="AD96" i="1"/>
  <c r="AC96" i="1"/>
  <c r="AB96" i="1"/>
  <c r="AA96" i="1"/>
  <c r="Z96" i="1"/>
  <c r="X96" i="1"/>
  <c r="O96" i="1"/>
  <c r="N96" i="1"/>
  <c r="M96" i="1"/>
  <c r="L96" i="1"/>
  <c r="K96" i="1"/>
  <c r="I96" i="1"/>
  <c r="AS95" i="1"/>
  <c r="AR95" i="1"/>
  <c r="AQ95" i="1"/>
  <c r="AP95" i="1"/>
  <c r="AO95" i="1"/>
  <c r="AM95" i="1"/>
  <c r="AD95" i="1"/>
  <c r="AC95" i="1"/>
  <c r="AB95" i="1"/>
  <c r="AA95" i="1"/>
  <c r="Z95" i="1"/>
  <c r="X95" i="1"/>
  <c r="O95" i="1"/>
  <c r="N95" i="1"/>
  <c r="M95" i="1"/>
  <c r="L95" i="1"/>
  <c r="K95" i="1"/>
  <c r="I95" i="1"/>
  <c r="AS94" i="1"/>
  <c r="AR94" i="1"/>
  <c r="AQ94" i="1"/>
  <c r="AP94" i="1"/>
  <c r="AO94" i="1"/>
  <c r="AM94" i="1"/>
  <c r="AD94" i="1"/>
  <c r="AC94" i="1"/>
  <c r="AB94" i="1"/>
  <c r="AA94" i="1"/>
  <c r="Z94" i="1"/>
  <c r="X94" i="1"/>
  <c r="O94" i="1"/>
  <c r="N94" i="1"/>
  <c r="M94" i="1"/>
  <c r="L94" i="1"/>
  <c r="K94" i="1"/>
  <c r="I94" i="1"/>
  <c r="AS93" i="1"/>
  <c r="AR93" i="1"/>
  <c r="AQ93" i="1"/>
  <c r="AP93" i="1"/>
  <c r="AO93" i="1"/>
  <c r="AM93" i="1"/>
  <c r="AD93" i="1"/>
  <c r="AC93" i="1"/>
  <c r="AB93" i="1"/>
  <c r="AA93" i="1"/>
  <c r="Z93" i="1"/>
  <c r="X93" i="1"/>
  <c r="O93" i="1"/>
  <c r="N93" i="1"/>
  <c r="M93" i="1"/>
  <c r="L93" i="1"/>
  <c r="K93" i="1"/>
  <c r="I93" i="1"/>
  <c r="AS92" i="1"/>
  <c r="AR92" i="1"/>
  <c r="AQ92" i="1"/>
  <c r="AP92" i="1"/>
  <c r="AO92" i="1"/>
  <c r="AM92" i="1"/>
  <c r="AD92" i="1"/>
  <c r="AC92" i="1"/>
  <c r="AB92" i="1"/>
  <c r="AA92" i="1"/>
  <c r="Z92" i="1"/>
  <c r="X92" i="1"/>
  <c r="O92" i="1"/>
  <c r="N92" i="1"/>
  <c r="M92" i="1"/>
  <c r="L92" i="1"/>
  <c r="K92" i="1"/>
  <c r="I92" i="1"/>
  <c r="AS91" i="1"/>
  <c r="AR91" i="1"/>
  <c r="AQ91" i="1"/>
  <c r="AP91" i="1"/>
  <c r="AO91" i="1"/>
  <c r="AM91" i="1"/>
  <c r="AD91" i="1"/>
  <c r="AC91" i="1"/>
  <c r="AB91" i="1"/>
  <c r="AA91" i="1"/>
  <c r="Z91" i="1"/>
  <c r="X91" i="1"/>
  <c r="O91" i="1"/>
  <c r="N91" i="1"/>
  <c r="M91" i="1"/>
  <c r="L91" i="1"/>
  <c r="K91" i="1"/>
  <c r="I91" i="1"/>
  <c r="AS90" i="1"/>
  <c r="AR90" i="1"/>
  <c r="AQ90" i="1"/>
  <c r="AP90" i="1"/>
  <c r="AO90" i="1"/>
  <c r="AM90" i="1"/>
  <c r="AD90" i="1"/>
  <c r="AC90" i="1"/>
  <c r="AB90" i="1"/>
  <c r="AA90" i="1"/>
  <c r="Z90" i="1"/>
  <c r="X90" i="1"/>
  <c r="O90" i="1"/>
  <c r="N90" i="1"/>
  <c r="M90" i="1"/>
  <c r="L90" i="1"/>
  <c r="K90" i="1"/>
  <c r="AS89" i="1"/>
  <c r="AR89" i="1"/>
  <c r="AQ89" i="1"/>
  <c r="AP89" i="1"/>
  <c r="AO89" i="1"/>
  <c r="AM89" i="1"/>
  <c r="AD89" i="1"/>
  <c r="AC89" i="1"/>
  <c r="O89" i="1"/>
  <c r="N89" i="1"/>
  <c r="M89" i="1"/>
  <c r="L89" i="1"/>
  <c r="K89" i="1"/>
  <c r="AS88" i="1"/>
  <c r="AR88" i="1"/>
  <c r="AQ88" i="1"/>
  <c r="AP88" i="1"/>
  <c r="AO88" i="1"/>
  <c r="AD88" i="1"/>
  <c r="AC88" i="1"/>
  <c r="AB88" i="1"/>
  <c r="AA88" i="1"/>
  <c r="Z88" i="1"/>
  <c r="O88" i="1"/>
  <c r="N88" i="1"/>
  <c r="M88" i="1"/>
  <c r="L88" i="1"/>
  <c r="K88" i="1"/>
  <c r="I88" i="1"/>
  <c r="AS87" i="1"/>
  <c r="AR87" i="1"/>
  <c r="AQ87" i="1"/>
  <c r="AP87" i="1"/>
  <c r="AO87" i="1"/>
  <c r="AD87" i="1"/>
  <c r="AC87" i="1"/>
  <c r="AB87" i="1"/>
  <c r="AA87" i="1"/>
  <c r="Z87" i="1"/>
  <c r="O87" i="1"/>
  <c r="N87" i="1"/>
  <c r="M87" i="1"/>
  <c r="L87" i="1"/>
  <c r="K87" i="1"/>
  <c r="I87" i="1"/>
  <c r="AS86" i="1"/>
  <c r="AR86" i="1"/>
  <c r="AQ86" i="1"/>
  <c r="AP86" i="1"/>
  <c r="AO86" i="1"/>
  <c r="AM86" i="1"/>
  <c r="AD86" i="1"/>
  <c r="AC86" i="1"/>
  <c r="AB86" i="1"/>
  <c r="AA86" i="1"/>
  <c r="Z86" i="1"/>
  <c r="O86" i="1"/>
  <c r="N86" i="1"/>
  <c r="M86" i="1"/>
  <c r="L86" i="1"/>
  <c r="K86" i="1"/>
  <c r="I86" i="1"/>
  <c r="AS85" i="1"/>
  <c r="AR85" i="1"/>
  <c r="AQ85" i="1"/>
  <c r="AP85" i="1"/>
  <c r="AO85" i="1"/>
  <c r="AM85" i="1"/>
  <c r="AD85" i="1"/>
  <c r="AC85" i="1"/>
  <c r="AB85" i="1"/>
  <c r="AA85" i="1"/>
  <c r="Z85" i="1"/>
  <c r="O85" i="1"/>
  <c r="N85" i="1"/>
  <c r="M85" i="1"/>
  <c r="L85" i="1"/>
  <c r="K85" i="1"/>
  <c r="I85" i="1"/>
  <c r="AS84" i="1"/>
  <c r="AR84" i="1"/>
  <c r="AQ84" i="1"/>
  <c r="AP84" i="1"/>
  <c r="AO84" i="1"/>
  <c r="AM84" i="1"/>
  <c r="AD84" i="1"/>
  <c r="AC84" i="1"/>
  <c r="AB84" i="1"/>
  <c r="AA84" i="1"/>
  <c r="Z84" i="1"/>
  <c r="O84" i="1"/>
  <c r="N84" i="1"/>
  <c r="M84" i="1"/>
  <c r="L84" i="1"/>
  <c r="K84" i="1"/>
  <c r="I84" i="1"/>
  <c r="AS83" i="1"/>
  <c r="AR83" i="1"/>
  <c r="AQ83" i="1"/>
  <c r="AP83" i="1"/>
  <c r="AO83" i="1"/>
  <c r="AM83" i="1"/>
  <c r="AD83" i="1"/>
  <c r="AC83" i="1"/>
  <c r="AB83" i="1"/>
  <c r="AA83" i="1"/>
  <c r="Z83" i="1"/>
  <c r="O83" i="1"/>
  <c r="N83" i="1"/>
  <c r="M83" i="1"/>
  <c r="L83" i="1"/>
  <c r="K83" i="1"/>
  <c r="I83" i="1"/>
  <c r="AS82" i="1"/>
  <c r="AR82" i="1"/>
  <c r="AQ82" i="1"/>
  <c r="AP82" i="1"/>
  <c r="AO82" i="1"/>
  <c r="AM82" i="1"/>
  <c r="AD82" i="1"/>
  <c r="AC82" i="1"/>
  <c r="AB82" i="1"/>
  <c r="AA82" i="1"/>
  <c r="Z82" i="1"/>
  <c r="O82" i="1"/>
  <c r="N82" i="1"/>
  <c r="M82" i="1"/>
  <c r="L82" i="1"/>
  <c r="K82" i="1"/>
  <c r="I82" i="1"/>
  <c r="AS81" i="1"/>
  <c r="AR81" i="1"/>
  <c r="AQ81" i="1"/>
  <c r="AP81" i="1"/>
  <c r="AO81" i="1"/>
  <c r="AM81" i="1"/>
  <c r="AD81" i="1"/>
  <c r="AC81" i="1"/>
  <c r="AB81" i="1"/>
  <c r="AA81" i="1"/>
  <c r="Z81" i="1"/>
  <c r="O81" i="1"/>
  <c r="N81" i="1"/>
  <c r="M81" i="1"/>
  <c r="L81" i="1"/>
  <c r="K81" i="1"/>
  <c r="AS80" i="1"/>
  <c r="AR80" i="1"/>
  <c r="AQ80" i="1"/>
  <c r="AP80" i="1"/>
  <c r="AO80" i="1"/>
  <c r="AM80" i="1"/>
  <c r="AD80" i="1"/>
  <c r="AC80" i="1"/>
  <c r="AB80" i="1"/>
  <c r="AA80" i="1"/>
  <c r="Z80" i="1"/>
  <c r="O80" i="1"/>
  <c r="N80" i="1"/>
  <c r="M80" i="1"/>
  <c r="L80" i="1"/>
  <c r="K80" i="1"/>
  <c r="I80" i="1"/>
  <c r="AS79" i="1"/>
  <c r="AR79" i="1"/>
  <c r="AQ79" i="1"/>
  <c r="AP79" i="1"/>
  <c r="AO79" i="1"/>
  <c r="AD79" i="1"/>
  <c r="AC79" i="1"/>
  <c r="AB79" i="1"/>
  <c r="AA79" i="1"/>
  <c r="Z79" i="1"/>
  <c r="X79" i="1"/>
  <c r="O79" i="1"/>
  <c r="N79" i="1"/>
  <c r="M79" i="1"/>
  <c r="L79" i="1"/>
  <c r="K79" i="1"/>
  <c r="I79" i="1"/>
  <c r="AS78" i="1"/>
  <c r="AR78" i="1"/>
  <c r="AQ78" i="1"/>
  <c r="AP78" i="1"/>
  <c r="AO78" i="1"/>
  <c r="AM78" i="1"/>
  <c r="AD78" i="1"/>
  <c r="AC78" i="1"/>
  <c r="AB78" i="1"/>
  <c r="AA78" i="1"/>
  <c r="Z78" i="1"/>
  <c r="X78" i="1"/>
  <c r="O78" i="1"/>
  <c r="N78" i="1"/>
  <c r="M78" i="1"/>
  <c r="L78" i="1"/>
  <c r="K78" i="1"/>
  <c r="I78" i="1"/>
  <c r="AS77" i="1"/>
  <c r="AR77" i="1"/>
  <c r="AQ77" i="1"/>
  <c r="AP77" i="1"/>
  <c r="AO77" i="1"/>
  <c r="AM77" i="1"/>
  <c r="AD77" i="1"/>
  <c r="AC77" i="1"/>
  <c r="AB77" i="1"/>
  <c r="AA77" i="1"/>
  <c r="Z77" i="1"/>
  <c r="X77" i="1"/>
  <c r="O77" i="1"/>
  <c r="N77" i="1"/>
  <c r="M77" i="1"/>
  <c r="L77" i="1"/>
  <c r="K77" i="1"/>
  <c r="I77" i="1"/>
  <c r="AS76" i="1"/>
  <c r="AR76" i="1"/>
  <c r="AQ76" i="1"/>
  <c r="AP76" i="1"/>
  <c r="AO76" i="1"/>
  <c r="AN76" i="1"/>
  <c r="AM76" i="1"/>
  <c r="AD76" i="1"/>
  <c r="AC76" i="1"/>
  <c r="AB76" i="1"/>
  <c r="AA76" i="1"/>
  <c r="Z76" i="1"/>
  <c r="X76" i="1"/>
  <c r="O76" i="1"/>
  <c r="N76" i="1"/>
  <c r="M76" i="1"/>
  <c r="L76" i="1"/>
  <c r="K76" i="1"/>
  <c r="I76" i="1"/>
  <c r="AS75" i="1"/>
  <c r="AR75" i="1"/>
  <c r="AQ75" i="1"/>
  <c r="AP75" i="1"/>
  <c r="AO75" i="1"/>
  <c r="AM75" i="1"/>
  <c r="AD75" i="1"/>
  <c r="AC75" i="1"/>
  <c r="AB75" i="1"/>
  <c r="AA75" i="1"/>
  <c r="Z75" i="1"/>
  <c r="X75" i="1"/>
  <c r="O75" i="1"/>
  <c r="N75" i="1"/>
  <c r="M75" i="1"/>
  <c r="L75" i="1"/>
  <c r="K75" i="1"/>
  <c r="I75" i="1"/>
  <c r="AS74" i="1"/>
  <c r="AR74" i="1"/>
  <c r="AQ74" i="1"/>
  <c r="AP74" i="1"/>
  <c r="AO74" i="1"/>
  <c r="AM74" i="1"/>
  <c r="AD74" i="1"/>
  <c r="AC74" i="1"/>
  <c r="AB74" i="1"/>
  <c r="AA74" i="1"/>
  <c r="Z74" i="1"/>
  <c r="X74" i="1"/>
  <c r="O74" i="1"/>
  <c r="N74" i="1"/>
  <c r="M74" i="1"/>
  <c r="L74" i="1"/>
  <c r="K74" i="1"/>
  <c r="I74" i="1"/>
  <c r="AS73" i="1"/>
  <c r="AR73" i="1"/>
  <c r="AQ73" i="1"/>
  <c r="AP73" i="1"/>
  <c r="AO73" i="1"/>
  <c r="AM73" i="1"/>
  <c r="AD73" i="1"/>
  <c r="AC73" i="1"/>
  <c r="AB73" i="1"/>
  <c r="AA73" i="1"/>
  <c r="Z73" i="1"/>
  <c r="X73" i="1"/>
  <c r="O73" i="1"/>
  <c r="N73" i="1"/>
  <c r="M73" i="1"/>
  <c r="L73" i="1"/>
  <c r="K73" i="1"/>
  <c r="AS72" i="1"/>
  <c r="AR72" i="1"/>
  <c r="AQ72" i="1"/>
  <c r="AP72" i="1"/>
  <c r="AO72" i="1"/>
  <c r="AN72" i="1"/>
  <c r="AM72" i="1"/>
  <c r="AD72" i="1"/>
  <c r="AC72" i="1"/>
  <c r="O72" i="1"/>
  <c r="N72" i="1"/>
  <c r="M72" i="1"/>
  <c r="L72" i="1"/>
  <c r="K72" i="1"/>
  <c r="AS71" i="1"/>
  <c r="AR71" i="1"/>
  <c r="AQ71" i="1"/>
  <c r="AP71" i="1"/>
  <c r="AO71" i="1"/>
  <c r="AD71" i="1"/>
  <c r="AC71" i="1"/>
  <c r="AA71" i="1"/>
  <c r="Z71" i="1"/>
  <c r="O71" i="1"/>
  <c r="N71" i="1"/>
  <c r="M71" i="1"/>
  <c r="L71" i="1"/>
  <c r="K71" i="1"/>
  <c r="AS70" i="1"/>
  <c r="AR70" i="1"/>
  <c r="AQ70" i="1"/>
  <c r="AP70" i="1"/>
  <c r="AO70" i="1"/>
  <c r="AD70" i="1"/>
  <c r="AC70" i="1"/>
  <c r="AA70" i="1"/>
  <c r="Z70" i="1"/>
  <c r="O70" i="1"/>
  <c r="N70" i="1"/>
  <c r="M70" i="1"/>
  <c r="L70" i="1"/>
  <c r="K70" i="1"/>
  <c r="I70" i="1"/>
  <c r="AS69" i="1"/>
  <c r="AR69" i="1"/>
  <c r="AQ69" i="1"/>
  <c r="AP69" i="1"/>
  <c r="AO69" i="1"/>
  <c r="AM69" i="1"/>
  <c r="AD69" i="1"/>
  <c r="AC69" i="1"/>
  <c r="AB69" i="1"/>
  <c r="AA69" i="1"/>
  <c r="Z69" i="1"/>
  <c r="X69" i="1"/>
  <c r="O69" i="1"/>
  <c r="N69" i="1"/>
  <c r="M69" i="1"/>
  <c r="L69" i="1"/>
  <c r="K69" i="1"/>
  <c r="I69" i="1"/>
  <c r="AS68" i="1"/>
  <c r="AR68" i="1"/>
  <c r="AQ68" i="1"/>
  <c r="AP68" i="1"/>
  <c r="AO68" i="1"/>
  <c r="AM68" i="1"/>
  <c r="AD68" i="1"/>
  <c r="AC68" i="1"/>
  <c r="AB68" i="1"/>
  <c r="AA68" i="1"/>
  <c r="Z68" i="1"/>
  <c r="X68" i="1"/>
  <c r="O68" i="1"/>
  <c r="N68" i="1"/>
  <c r="M68" i="1"/>
  <c r="L68" i="1"/>
  <c r="K68" i="1"/>
  <c r="I68" i="1"/>
  <c r="AS67" i="1"/>
  <c r="AR67" i="1"/>
  <c r="AQ67" i="1"/>
  <c r="AP67" i="1"/>
  <c r="AO67" i="1"/>
  <c r="AM67" i="1"/>
  <c r="AD67" i="1"/>
  <c r="AC67" i="1"/>
  <c r="AB67" i="1"/>
  <c r="AA67" i="1"/>
  <c r="Z67" i="1"/>
  <c r="X67" i="1"/>
  <c r="O67" i="1"/>
  <c r="N67" i="1"/>
  <c r="M67" i="1"/>
  <c r="L67" i="1"/>
  <c r="K67" i="1"/>
  <c r="I67" i="1"/>
  <c r="AS66" i="1"/>
  <c r="AR66" i="1"/>
  <c r="AQ66" i="1"/>
  <c r="AP66" i="1"/>
  <c r="AO66" i="1"/>
  <c r="AM66" i="1"/>
  <c r="AD66" i="1"/>
  <c r="AC66" i="1"/>
  <c r="AB66" i="1"/>
  <c r="AA66" i="1"/>
  <c r="Z66" i="1"/>
  <c r="X66" i="1"/>
  <c r="O66" i="1"/>
  <c r="N66" i="1"/>
  <c r="M66" i="1"/>
  <c r="L66" i="1"/>
  <c r="K66" i="1"/>
  <c r="I66" i="1"/>
  <c r="AS65" i="1"/>
  <c r="AR65" i="1"/>
  <c r="AQ65" i="1"/>
  <c r="AP65" i="1"/>
  <c r="AO65" i="1"/>
  <c r="AM65" i="1"/>
  <c r="AD65" i="1"/>
  <c r="AC65" i="1"/>
  <c r="AB65" i="1"/>
  <c r="AA65" i="1"/>
  <c r="Z65" i="1"/>
  <c r="X65" i="1"/>
  <c r="O65" i="1"/>
  <c r="N65" i="1"/>
  <c r="M65" i="1"/>
  <c r="L65" i="1"/>
  <c r="K65" i="1"/>
  <c r="I65" i="1"/>
  <c r="AS64" i="1"/>
  <c r="AR64" i="1"/>
  <c r="AQ64" i="1"/>
  <c r="AP64" i="1"/>
  <c r="AO64" i="1"/>
  <c r="AN64" i="1"/>
  <c r="AM64" i="1"/>
  <c r="AD64" i="1"/>
  <c r="AC64" i="1"/>
  <c r="AB64" i="1"/>
  <c r="AA64" i="1"/>
  <c r="Z64" i="1"/>
  <c r="X64" i="1"/>
  <c r="O64" i="1"/>
  <c r="N64" i="1"/>
  <c r="M64" i="1"/>
  <c r="L64" i="1"/>
  <c r="K64" i="1"/>
  <c r="I64" i="1"/>
  <c r="AS63" i="1"/>
  <c r="AR63" i="1"/>
  <c r="AQ63" i="1"/>
  <c r="AP63" i="1"/>
  <c r="AO63" i="1"/>
  <c r="AM63" i="1"/>
  <c r="AD63" i="1"/>
  <c r="AC63" i="1"/>
  <c r="AB63" i="1"/>
  <c r="AA63" i="1"/>
  <c r="Z63" i="1"/>
  <c r="X63" i="1"/>
  <c r="O63" i="1"/>
  <c r="N63" i="1"/>
  <c r="M63" i="1"/>
  <c r="L63" i="1"/>
  <c r="K63" i="1"/>
  <c r="AS62" i="1"/>
  <c r="AR62" i="1"/>
  <c r="AQ62" i="1"/>
  <c r="AP62" i="1"/>
  <c r="AO62" i="1"/>
  <c r="AD62" i="1"/>
  <c r="AC62" i="1"/>
  <c r="AA62" i="1"/>
  <c r="Z62" i="1"/>
  <c r="O62" i="1"/>
  <c r="N62" i="1"/>
  <c r="M62" i="1"/>
  <c r="L62" i="1"/>
  <c r="K62" i="1"/>
  <c r="I62" i="1"/>
  <c r="AS61" i="1"/>
  <c r="AR61" i="1"/>
  <c r="AQ61" i="1"/>
  <c r="AP61" i="1"/>
  <c r="AO61" i="1"/>
  <c r="AM61" i="1"/>
  <c r="AD61" i="1"/>
  <c r="AC61" i="1"/>
  <c r="AB61" i="1"/>
  <c r="AA61" i="1"/>
  <c r="Z61" i="1"/>
  <c r="X61" i="1"/>
  <c r="O61" i="1"/>
  <c r="N61" i="1"/>
  <c r="M61" i="1"/>
  <c r="L61" i="1"/>
  <c r="K61" i="1"/>
  <c r="I61" i="1"/>
  <c r="AS60" i="1"/>
  <c r="AR60" i="1"/>
  <c r="AQ60" i="1"/>
  <c r="AP60" i="1"/>
  <c r="AO60" i="1"/>
  <c r="AN60" i="1"/>
  <c r="AM60" i="1"/>
  <c r="AD60" i="1"/>
  <c r="AC60" i="1"/>
  <c r="AB60" i="1"/>
  <c r="AA60" i="1"/>
  <c r="Z60" i="1"/>
  <c r="X60" i="1"/>
  <c r="O60" i="1"/>
  <c r="N60" i="1"/>
  <c r="M60" i="1"/>
  <c r="L60" i="1"/>
  <c r="K60" i="1"/>
  <c r="I60" i="1"/>
  <c r="AS59" i="1"/>
  <c r="AR59" i="1"/>
  <c r="AQ59" i="1"/>
  <c r="AP59" i="1"/>
  <c r="AO59" i="1"/>
  <c r="AN59" i="1"/>
  <c r="AM59" i="1"/>
  <c r="AD59" i="1"/>
  <c r="AC59" i="1"/>
  <c r="AB59" i="1"/>
  <c r="AA59" i="1"/>
  <c r="Z59" i="1"/>
  <c r="X59" i="1"/>
  <c r="O59" i="1"/>
  <c r="N59" i="1"/>
  <c r="M59" i="1"/>
  <c r="L59" i="1"/>
  <c r="K59" i="1"/>
  <c r="I59" i="1"/>
  <c r="AS58" i="1"/>
  <c r="AR58" i="1"/>
  <c r="AQ58" i="1"/>
  <c r="AP58" i="1"/>
  <c r="AO58" i="1"/>
  <c r="AM58" i="1"/>
  <c r="AD58" i="1"/>
  <c r="AC58" i="1"/>
  <c r="AB58" i="1"/>
  <c r="AA58" i="1"/>
  <c r="Z58" i="1"/>
  <c r="X58" i="1"/>
  <c r="O58" i="1"/>
  <c r="N58" i="1"/>
  <c r="M58" i="1"/>
  <c r="L58" i="1"/>
  <c r="K58" i="1"/>
  <c r="I58" i="1"/>
  <c r="AS57" i="1"/>
  <c r="AR57" i="1"/>
  <c r="AQ57" i="1"/>
  <c r="AP57" i="1"/>
  <c r="AO57" i="1"/>
  <c r="AN57" i="1"/>
  <c r="AM57" i="1"/>
  <c r="AD57" i="1"/>
  <c r="AC57" i="1"/>
  <c r="AB57" i="1"/>
  <c r="AA57" i="1"/>
  <c r="Z57" i="1"/>
  <c r="X57" i="1"/>
  <c r="O57" i="1"/>
  <c r="N57" i="1"/>
  <c r="M57" i="1"/>
  <c r="L57" i="1"/>
  <c r="K57" i="1"/>
  <c r="I57" i="1"/>
  <c r="AS56" i="1"/>
  <c r="AR56" i="1"/>
  <c r="AQ56" i="1"/>
  <c r="AP56" i="1"/>
  <c r="AO56" i="1"/>
  <c r="AM56" i="1"/>
  <c r="AD56" i="1"/>
  <c r="AC56" i="1"/>
  <c r="AB56" i="1"/>
  <c r="AA56" i="1"/>
  <c r="Z56" i="1"/>
  <c r="X56" i="1"/>
  <c r="O56" i="1"/>
  <c r="N56" i="1"/>
  <c r="M56" i="1"/>
  <c r="L56" i="1"/>
  <c r="K56" i="1"/>
  <c r="I56" i="1"/>
  <c r="AS55" i="1"/>
  <c r="AR55" i="1"/>
  <c r="AQ55" i="1"/>
  <c r="AP55" i="1"/>
  <c r="AO55" i="1"/>
  <c r="AM55" i="1"/>
  <c r="AD55" i="1"/>
  <c r="AC55" i="1"/>
  <c r="AB55" i="1"/>
  <c r="AA55" i="1"/>
  <c r="Z55" i="1"/>
  <c r="X55" i="1"/>
  <c r="O55" i="1"/>
  <c r="N55" i="1"/>
  <c r="M55" i="1"/>
  <c r="L55" i="1"/>
  <c r="K55" i="1"/>
  <c r="AS54" i="1"/>
  <c r="AR54" i="1"/>
  <c r="AQ54" i="1"/>
  <c r="AP54" i="1"/>
  <c r="AO54" i="1"/>
  <c r="AD54" i="1"/>
  <c r="AC54" i="1"/>
  <c r="O54" i="1"/>
  <c r="N54" i="1"/>
  <c r="M54" i="1"/>
  <c r="L54" i="1"/>
  <c r="K54" i="1"/>
  <c r="AS53" i="1"/>
  <c r="AR53" i="1"/>
  <c r="AQ53" i="1"/>
  <c r="AP53" i="1"/>
  <c r="AO53" i="1"/>
  <c r="AD53" i="1"/>
  <c r="AC53" i="1"/>
  <c r="AA53" i="1"/>
  <c r="Z53" i="1"/>
  <c r="O53" i="1"/>
  <c r="N53" i="1"/>
  <c r="M53" i="1"/>
  <c r="L53" i="1"/>
  <c r="K53" i="1"/>
  <c r="AS52" i="1"/>
  <c r="AR52" i="1"/>
  <c r="AQ52" i="1"/>
  <c r="AP52" i="1"/>
  <c r="AO52" i="1"/>
  <c r="AM52" i="1"/>
  <c r="AD52" i="1"/>
  <c r="AC52" i="1"/>
  <c r="AB52" i="1"/>
  <c r="AA52" i="1"/>
  <c r="Z52" i="1"/>
  <c r="X52" i="1"/>
  <c r="O52" i="1"/>
  <c r="N52" i="1"/>
  <c r="M52" i="1"/>
  <c r="L52" i="1"/>
  <c r="K52" i="1"/>
  <c r="I52" i="1"/>
  <c r="AS51" i="1"/>
  <c r="AR51" i="1"/>
  <c r="AQ51" i="1"/>
  <c r="AP51" i="1"/>
  <c r="AO51" i="1"/>
  <c r="AM51" i="1"/>
  <c r="AD51" i="1"/>
  <c r="AC51" i="1"/>
  <c r="AB51" i="1"/>
  <c r="AA51" i="1"/>
  <c r="Z51" i="1"/>
  <c r="X51" i="1"/>
  <c r="O51" i="1"/>
  <c r="N51" i="1"/>
  <c r="M51" i="1"/>
  <c r="L51" i="1"/>
  <c r="K51" i="1"/>
  <c r="I51" i="1"/>
  <c r="AS50" i="1"/>
  <c r="AR50" i="1"/>
  <c r="AQ50" i="1"/>
  <c r="AP50" i="1"/>
  <c r="AO50" i="1"/>
  <c r="AM50" i="1"/>
  <c r="AD50" i="1"/>
  <c r="AC50" i="1"/>
  <c r="AB50" i="1"/>
  <c r="AA50" i="1"/>
  <c r="Z50" i="1"/>
  <c r="X50" i="1"/>
  <c r="O50" i="1"/>
  <c r="N50" i="1"/>
  <c r="M50" i="1"/>
  <c r="L50" i="1"/>
  <c r="K50" i="1"/>
  <c r="I50" i="1"/>
  <c r="AS49" i="1"/>
  <c r="AR49" i="1"/>
  <c r="AQ49" i="1"/>
  <c r="AP49" i="1"/>
  <c r="AO49" i="1"/>
  <c r="AM49" i="1"/>
  <c r="AD49" i="1"/>
  <c r="AC49" i="1"/>
  <c r="AB49" i="1"/>
  <c r="AA49" i="1"/>
  <c r="Z49" i="1"/>
  <c r="X49" i="1"/>
  <c r="O49" i="1"/>
  <c r="N49" i="1"/>
  <c r="M49" i="1"/>
  <c r="L49" i="1"/>
  <c r="K49" i="1"/>
  <c r="I49" i="1"/>
  <c r="AS48" i="1"/>
  <c r="AR48" i="1"/>
  <c r="AQ48" i="1"/>
  <c r="AP48" i="1"/>
  <c r="AO48" i="1"/>
  <c r="AN48" i="1"/>
  <c r="AM48" i="1"/>
  <c r="AD48" i="1"/>
  <c r="AC48" i="1"/>
  <c r="AB48" i="1"/>
  <c r="AA48" i="1"/>
  <c r="Z48" i="1"/>
  <c r="X48" i="1"/>
  <c r="O48" i="1"/>
  <c r="N48" i="1"/>
  <c r="M48" i="1"/>
  <c r="L48" i="1"/>
  <c r="K48" i="1"/>
  <c r="I48" i="1"/>
  <c r="AS47" i="1"/>
  <c r="AR47" i="1"/>
  <c r="AQ47" i="1"/>
  <c r="AP47" i="1"/>
  <c r="AO47" i="1"/>
  <c r="AM47" i="1"/>
  <c r="AD47" i="1"/>
  <c r="AC47" i="1"/>
  <c r="AB47" i="1"/>
  <c r="AA47" i="1"/>
  <c r="Z47" i="1"/>
  <c r="X47" i="1"/>
  <c r="O47" i="1"/>
  <c r="N47" i="1"/>
  <c r="M47" i="1"/>
  <c r="L47" i="1"/>
  <c r="K47" i="1"/>
  <c r="I47" i="1"/>
  <c r="AS46" i="1"/>
  <c r="AR46" i="1"/>
  <c r="AQ46" i="1"/>
  <c r="AP46" i="1"/>
  <c r="AO46" i="1"/>
  <c r="AM46" i="1"/>
  <c r="AD46" i="1"/>
  <c r="AC46" i="1"/>
  <c r="AB46" i="1"/>
  <c r="AA46" i="1"/>
  <c r="Z46" i="1"/>
  <c r="X46" i="1"/>
  <c r="O46" i="1"/>
  <c r="N46" i="1"/>
  <c r="M46" i="1"/>
  <c r="L46" i="1"/>
  <c r="K46" i="1"/>
  <c r="AS45" i="1"/>
  <c r="AR45" i="1"/>
  <c r="AQ45" i="1"/>
  <c r="AP45" i="1"/>
  <c r="AO45" i="1"/>
  <c r="AD45" i="1"/>
  <c r="AC45" i="1"/>
  <c r="AA45" i="1"/>
  <c r="Z45" i="1"/>
  <c r="O45" i="1"/>
  <c r="N45" i="1"/>
  <c r="M45" i="1"/>
  <c r="L45" i="1"/>
  <c r="K45" i="1"/>
  <c r="J45" i="1"/>
  <c r="I45" i="1"/>
  <c r="AS44" i="1"/>
  <c r="AR44" i="1"/>
  <c r="AQ44" i="1"/>
  <c r="AP44" i="1"/>
  <c r="AO44" i="1"/>
  <c r="AM44" i="1"/>
  <c r="AD44" i="1"/>
  <c r="AC44" i="1"/>
  <c r="AB44" i="1"/>
  <c r="AA44" i="1"/>
  <c r="Z44" i="1"/>
  <c r="X44" i="1"/>
  <c r="O44" i="1"/>
  <c r="N44" i="1"/>
  <c r="M44" i="1"/>
  <c r="L44" i="1"/>
  <c r="K44" i="1"/>
  <c r="I44" i="1"/>
  <c r="AS43" i="1"/>
  <c r="AR43" i="1"/>
  <c r="AQ43" i="1"/>
  <c r="AP43" i="1"/>
  <c r="AO43" i="1"/>
  <c r="AM43" i="1"/>
  <c r="AD43" i="1"/>
  <c r="AC43" i="1"/>
  <c r="AB43" i="1"/>
  <c r="AA43" i="1"/>
  <c r="Z43" i="1"/>
  <c r="X43" i="1"/>
  <c r="O43" i="1"/>
  <c r="N43" i="1"/>
  <c r="M43" i="1"/>
  <c r="L43" i="1"/>
  <c r="K43" i="1"/>
  <c r="I43" i="1"/>
  <c r="AS42" i="1"/>
  <c r="AR42" i="1"/>
  <c r="AQ42" i="1"/>
  <c r="AP42" i="1"/>
  <c r="AO42" i="1"/>
  <c r="AM42" i="1"/>
  <c r="AD42" i="1"/>
  <c r="AC42" i="1"/>
  <c r="AB42" i="1"/>
  <c r="AA42" i="1"/>
  <c r="Z42" i="1"/>
  <c r="X42" i="1"/>
  <c r="O42" i="1"/>
  <c r="N42" i="1"/>
  <c r="M42" i="1"/>
  <c r="L42" i="1"/>
  <c r="K42" i="1"/>
  <c r="I42" i="1"/>
  <c r="AS41" i="1"/>
  <c r="AR41" i="1"/>
  <c r="AQ41" i="1"/>
  <c r="AP41" i="1"/>
  <c r="AO41" i="1"/>
  <c r="AM41" i="1"/>
  <c r="AD41" i="1"/>
  <c r="AC41" i="1"/>
  <c r="AB41" i="1"/>
  <c r="AA41" i="1"/>
  <c r="Z41" i="1"/>
  <c r="X41" i="1"/>
  <c r="O41" i="1"/>
  <c r="N41" i="1"/>
  <c r="M41" i="1"/>
  <c r="L41" i="1"/>
  <c r="K41" i="1"/>
  <c r="I41" i="1"/>
  <c r="AS40" i="1"/>
  <c r="AR40" i="1"/>
  <c r="AQ40" i="1"/>
  <c r="AP40" i="1"/>
  <c r="AO40" i="1"/>
  <c r="AM40" i="1"/>
  <c r="AD40" i="1"/>
  <c r="AC40" i="1"/>
  <c r="AB40" i="1"/>
  <c r="AA40" i="1"/>
  <c r="Z40" i="1"/>
  <c r="X40" i="1"/>
  <c r="O40" i="1"/>
  <c r="N40" i="1"/>
  <c r="M40" i="1"/>
  <c r="L40" i="1"/>
  <c r="K40" i="1"/>
  <c r="J40" i="1"/>
  <c r="I40" i="1"/>
  <c r="AS39" i="1"/>
  <c r="AR39" i="1"/>
  <c r="AQ39" i="1"/>
  <c r="AP39" i="1"/>
  <c r="AO39" i="1"/>
  <c r="AM39" i="1"/>
  <c r="AD39" i="1"/>
  <c r="AC39" i="1"/>
  <c r="AB39" i="1"/>
  <c r="AA39" i="1"/>
  <c r="Z39" i="1"/>
  <c r="X39" i="1"/>
  <c r="O39" i="1"/>
  <c r="J39" i="1"/>
  <c r="H39" i="1"/>
  <c r="M39" i="1" s="1"/>
  <c r="AS38" i="1"/>
  <c r="AR38" i="1"/>
  <c r="AQ38" i="1"/>
  <c r="AP38" i="1"/>
  <c r="AO38" i="1"/>
  <c r="AM38" i="1"/>
  <c r="AD38" i="1"/>
  <c r="AC38" i="1"/>
  <c r="AB38" i="1"/>
  <c r="AA38" i="1"/>
  <c r="Z38" i="1"/>
  <c r="X38" i="1"/>
  <c r="O38" i="1"/>
  <c r="N38" i="1"/>
  <c r="M38" i="1"/>
  <c r="L38" i="1"/>
  <c r="K38" i="1"/>
  <c r="AS37" i="1"/>
  <c r="AR37" i="1"/>
  <c r="AQ37" i="1"/>
  <c r="AP37" i="1"/>
  <c r="AO37" i="1"/>
  <c r="AD37" i="1"/>
  <c r="AC37" i="1"/>
  <c r="O37" i="1"/>
  <c r="N37" i="1"/>
  <c r="M37" i="1"/>
  <c r="L37" i="1"/>
  <c r="K37" i="1"/>
  <c r="AS36" i="1"/>
  <c r="AR36" i="1"/>
  <c r="AQ36" i="1"/>
  <c r="AP36" i="1"/>
  <c r="AO36" i="1"/>
  <c r="AD36" i="1"/>
  <c r="AC36" i="1"/>
  <c r="AA36" i="1"/>
  <c r="Z36" i="1"/>
  <c r="O36" i="1"/>
  <c r="N36" i="1"/>
  <c r="M36" i="1"/>
  <c r="L36" i="1"/>
  <c r="K36" i="1"/>
  <c r="I36" i="1"/>
  <c r="AS35" i="1"/>
  <c r="AR35" i="1"/>
  <c r="AQ35" i="1"/>
  <c r="AP35" i="1"/>
  <c r="AO35" i="1"/>
  <c r="AM35" i="1"/>
  <c r="AD35" i="1"/>
  <c r="AC35" i="1"/>
  <c r="AB35" i="1"/>
  <c r="AA35" i="1"/>
  <c r="Z35" i="1"/>
  <c r="X35" i="1"/>
  <c r="O35" i="1"/>
  <c r="N35" i="1"/>
  <c r="M35" i="1"/>
  <c r="L35" i="1"/>
  <c r="K35" i="1"/>
  <c r="I35" i="1"/>
  <c r="AS34" i="1"/>
  <c r="AR34" i="1"/>
  <c r="AQ34" i="1"/>
  <c r="AP34" i="1"/>
  <c r="AO34" i="1"/>
  <c r="AM34" i="1"/>
  <c r="AD34" i="1"/>
  <c r="AC34" i="1"/>
  <c r="AB34" i="1"/>
  <c r="AA34" i="1"/>
  <c r="Z34" i="1"/>
  <c r="X34" i="1"/>
  <c r="O34" i="1"/>
  <c r="N34" i="1"/>
  <c r="M34" i="1"/>
  <c r="L34" i="1"/>
  <c r="K34" i="1"/>
  <c r="I34" i="1"/>
  <c r="AS33" i="1"/>
  <c r="AR33" i="1"/>
  <c r="AQ33" i="1"/>
  <c r="AP33" i="1"/>
  <c r="AO33" i="1"/>
  <c r="AM33" i="1"/>
  <c r="AI33" i="1"/>
  <c r="AD33" i="1"/>
  <c r="AC33" i="1"/>
  <c r="AB33" i="1"/>
  <c r="AA33" i="1"/>
  <c r="Z33" i="1"/>
  <c r="X33" i="1"/>
  <c r="O33" i="1"/>
  <c r="N33" i="1"/>
  <c r="M33" i="1"/>
  <c r="L33" i="1"/>
  <c r="K33" i="1"/>
  <c r="I33" i="1"/>
  <c r="AS32" i="1"/>
  <c r="AR32" i="1"/>
  <c r="AQ32" i="1"/>
  <c r="AP32" i="1"/>
  <c r="AO32" i="1"/>
  <c r="AM32" i="1"/>
  <c r="AD32" i="1"/>
  <c r="AC32" i="1"/>
  <c r="AB32" i="1"/>
  <c r="AA32" i="1"/>
  <c r="Z32" i="1"/>
  <c r="X32" i="1"/>
  <c r="O32" i="1"/>
  <c r="N32" i="1"/>
  <c r="M32" i="1"/>
  <c r="L32" i="1"/>
  <c r="K32" i="1"/>
  <c r="I32" i="1"/>
  <c r="AS31" i="1"/>
  <c r="AQ31" i="1"/>
  <c r="AO31" i="1"/>
  <c r="AM31" i="1"/>
  <c r="AI31" i="1"/>
  <c r="AP31" i="1" s="1"/>
  <c r="AD31" i="1"/>
  <c r="AC31" i="1"/>
  <c r="AB31" i="1"/>
  <c r="AA31" i="1"/>
  <c r="Z31" i="1"/>
  <c r="X31" i="1"/>
  <c r="O31" i="1"/>
  <c r="N31" i="1"/>
  <c r="M31" i="1"/>
  <c r="L31" i="1"/>
  <c r="K31" i="1"/>
  <c r="I31" i="1"/>
  <c r="AR30" i="1"/>
  <c r="AQ30" i="1"/>
  <c r="AP30" i="1"/>
  <c r="AM30" i="1"/>
  <c r="AK30" i="1"/>
  <c r="AS30" i="1" s="1"/>
  <c r="AD30" i="1"/>
  <c r="AC30" i="1"/>
  <c r="AB30" i="1"/>
  <c r="AA30" i="1"/>
  <c r="Z30" i="1"/>
  <c r="X30" i="1"/>
  <c r="O30" i="1"/>
  <c r="N30" i="1"/>
  <c r="M30" i="1"/>
  <c r="L30" i="1"/>
  <c r="K30" i="1"/>
  <c r="I30" i="1"/>
  <c r="AS29" i="1"/>
  <c r="AR29" i="1"/>
  <c r="AQ29" i="1"/>
  <c r="AP29" i="1"/>
  <c r="AO29" i="1"/>
  <c r="AM29" i="1"/>
  <c r="AD29" i="1"/>
  <c r="AC29" i="1"/>
  <c r="AB29" i="1"/>
  <c r="AA29" i="1"/>
  <c r="Z29" i="1"/>
  <c r="X29" i="1"/>
  <c r="O29" i="1"/>
  <c r="N29" i="1"/>
  <c r="M29" i="1"/>
  <c r="L29" i="1"/>
  <c r="K29" i="1"/>
  <c r="AS28" i="1"/>
  <c r="AR28" i="1"/>
  <c r="AQ28" i="1"/>
  <c r="AP28" i="1"/>
  <c r="AO28" i="1"/>
  <c r="AD28" i="1"/>
  <c r="AC28" i="1"/>
  <c r="AA28" i="1"/>
  <c r="Z28" i="1"/>
  <c r="O28" i="1"/>
  <c r="N28" i="1"/>
  <c r="M28" i="1"/>
  <c r="L28" i="1"/>
  <c r="K28" i="1"/>
  <c r="I28" i="1"/>
  <c r="F28" i="1"/>
  <c r="AS27" i="1"/>
  <c r="AR27" i="1"/>
  <c r="AQ27" i="1"/>
  <c r="AP27" i="1"/>
  <c r="AO27" i="1"/>
  <c r="AM27" i="1"/>
  <c r="AD27" i="1"/>
  <c r="AC27" i="1"/>
  <c r="AB27" i="1"/>
  <c r="AA27" i="1"/>
  <c r="Z27" i="1"/>
  <c r="X27" i="1"/>
  <c r="O27" i="1"/>
  <c r="N27" i="1"/>
  <c r="M27" i="1"/>
  <c r="L27" i="1"/>
  <c r="K27" i="1"/>
  <c r="I27" i="1"/>
  <c r="AS26" i="1"/>
  <c r="AR26" i="1"/>
  <c r="AQ26" i="1"/>
  <c r="AP26" i="1"/>
  <c r="AO26" i="1"/>
  <c r="AM26" i="1"/>
  <c r="AD26" i="1"/>
  <c r="AA26" i="1"/>
  <c r="W26" i="1"/>
  <c r="Z26" i="1" s="1"/>
  <c r="O26" i="1"/>
  <c r="N26" i="1"/>
  <c r="M26" i="1"/>
  <c r="L26" i="1"/>
  <c r="K26" i="1"/>
  <c r="I26" i="1"/>
  <c r="F26" i="1"/>
  <c r="AS25" i="1"/>
  <c r="AR25" i="1"/>
  <c r="AQ25" i="1"/>
  <c r="AP25" i="1"/>
  <c r="AO25" i="1"/>
  <c r="AM25" i="1"/>
  <c r="AD25" i="1"/>
  <c r="AA25" i="1"/>
  <c r="W25" i="1"/>
  <c r="Z25" i="1" s="1"/>
  <c r="O25" i="1"/>
  <c r="N25" i="1"/>
  <c r="M25" i="1"/>
  <c r="L25" i="1"/>
  <c r="K25" i="1"/>
  <c r="I25" i="1"/>
  <c r="AS24" i="1"/>
  <c r="AR24" i="1"/>
  <c r="AQ24" i="1"/>
  <c r="AP24" i="1"/>
  <c r="AO24" i="1"/>
  <c r="AM24" i="1"/>
  <c r="AD24" i="1"/>
  <c r="AC24" i="1"/>
  <c r="AB24" i="1"/>
  <c r="AA24" i="1"/>
  <c r="Z24" i="1"/>
  <c r="X24" i="1"/>
  <c r="O24" i="1"/>
  <c r="N24" i="1"/>
  <c r="M24" i="1"/>
  <c r="L24" i="1"/>
  <c r="K24" i="1"/>
  <c r="I24" i="1"/>
  <c r="AS23" i="1"/>
  <c r="AR23" i="1"/>
  <c r="AQ23" i="1"/>
  <c r="AP23" i="1"/>
  <c r="AO23" i="1"/>
  <c r="AM23" i="1"/>
  <c r="AD23" i="1"/>
  <c r="W23" i="1"/>
  <c r="X23" i="1" s="1"/>
  <c r="O23" i="1"/>
  <c r="N23" i="1"/>
  <c r="M23" i="1"/>
  <c r="L23" i="1"/>
  <c r="K23" i="1"/>
  <c r="I23" i="1"/>
  <c r="F23" i="1"/>
  <c r="AS22" i="1"/>
  <c r="AR22" i="1"/>
  <c r="AQ22" i="1"/>
  <c r="AP22" i="1"/>
  <c r="AO22" i="1"/>
  <c r="AM22" i="1"/>
  <c r="AD22" i="1"/>
  <c r="AC22" i="1"/>
  <c r="AB22" i="1"/>
  <c r="AA22" i="1"/>
  <c r="Z22" i="1"/>
  <c r="X22" i="1"/>
  <c r="O22" i="1"/>
  <c r="N22" i="1"/>
  <c r="M22" i="1"/>
  <c r="L22" i="1"/>
  <c r="K22" i="1"/>
  <c r="I22" i="1"/>
  <c r="F22" i="1"/>
  <c r="AS21" i="1"/>
  <c r="AR21" i="1"/>
  <c r="AQ21" i="1"/>
  <c r="AP21" i="1"/>
  <c r="AO21" i="1"/>
  <c r="AM21" i="1"/>
  <c r="AD21" i="1"/>
  <c r="AC21" i="1"/>
  <c r="AB21" i="1"/>
  <c r="AA21" i="1"/>
  <c r="Z21" i="1"/>
  <c r="X21" i="1"/>
  <c r="O21" i="1"/>
  <c r="N21" i="1"/>
  <c r="M21" i="1"/>
  <c r="L21" i="1"/>
  <c r="K21" i="1"/>
  <c r="AS20" i="1"/>
  <c r="AR20" i="1"/>
  <c r="AQ20" i="1"/>
  <c r="AP20" i="1"/>
  <c r="AO20" i="1"/>
  <c r="AD20" i="1"/>
  <c r="AC20" i="1"/>
  <c r="O20" i="1"/>
  <c r="N20" i="1"/>
  <c r="M20" i="1"/>
  <c r="L20" i="1"/>
  <c r="K20" i="1"/>
  <c r="AS19" i="1"/>
  <c r="AR19" i="1"/>
  <c r="AQ19" i="1"/>
  <c r="AP19" i="1"/>
  <c r="AO19" i="1"/>
  <c r="AD19" i="1"/>
  <c r="AC19" i="1"/>
  <c r="AA19" i="1"/>
  <c r="Z19" i="1"/>
  <c r="O19" i="1"/>
  <c r="N19" i="1"/>
  <c r="M19" i="1"/>
  <c r="L19" i="1"/>
  <c r="K19" i="1"/>
  <c r="I19" i="1"/>
  <c r="AS18" i="1"/>
  <c r="AR18" i="1"/>
  <c r="AQ18" i="1"/>
  <c r="AP18" i="1"/>
  <c r="AO18" i="1"/>
  <c r="AM18" i="1"/>
  <c r="AD18" i="1"/>
  <c r="AC18" i="1"/>
  <c r="AB18" i="1"/>
  <c r="AA18" i="1"/>
  <c r="Z18" i="1"/>
  <c r="X18" i="1"/>
  <c r="O18" i="1"/>
  <c r="N18" i="1"/>
  <c r="M18" i="1"/>
  <c r="L18" i="1"/>
  <c r="K18" i="1"/>
  <c r="I18" i="1"/>
  <c r="AS17" i="1"/>
  <c r="AR17" i="1"/>
  <c r="AQ17" i="1"/>
  <c r="AP17" i="1"/>
  <c r="AO17" i="1"/>
  <c r="AM17" i="1"/>
  <c r="AD17" i="1"/>
  <c r="AC17" i="1"/>
  <c r="AB17" i="1"/>
  <c r="AA17" i="1"/>
  <c r="Z17" i="1"/>
  <c r="X17" i="1"/>
  <c r="O17" i="1"/>
  <c r="L17" i="1"/>
  <c r="H17" i="1"/>
  <c r="K17" i="1" s="1"/>
  <c r="AS16" i="1"/>
  <c r="AR16" i="1"/>
  <c r="AQ16" i="1"/>
  <c r="AP16" i="1"/>
  <c r="AO16" i="1"/>
  <c r="AM16" i="1"/>
  <c r="AD16" i="1"/>
  <c r="AC16" i="1"/>
  <c r="AB16" i="1"/>
  <c r="AA16" i="1"/>
  <c r="Z16" i="1"/>
  <c r="X16" i="1"/>
  <c r="O16" i="1"/>
  <c r="N16" i="1"/>
  <c r="M16" i="1"/>
  <c r="L16" i="1"/>
  <c r="K16" i="1"/>
  <c r="I16" i="1"/>
  <c r="AS15" i="1"/>
  <c r="AR15" i="1"/>
  <c r="AQ15" i="1"/>
  <c r="AP15" i="1"/>
  <c r="AO15" i="1"/>
  <c r="AM15" i="1"/>
  <c r="AD15" i="1"/>
  <c r="AC15" i="1"/>
  <c r="AB15" i="1"/>
  <c r="AA15" i="1"/>
  <c r="Z15" i="1"/>
  <c r="X15" i="1"/>
  <c r="O15" i="1"/>
  <c r="N15" i="1"/>
  <c r="M15" i="1"/>
  <c r="L15" i="1"/>
  <c r="K15" i="1"/>
  <c r="I15" i="1"/>
  <c r="AS14" i="1"/>
  <c r="AR14" i="1"/>
  <c r="AQ14" i="1"/>
  <c r="AP14" i="1"/>
  <c r="AO14" i="1"/>
  <c r="AM14" i="1"/>
  <c r="AD14" i="1"/>
  <c r="AC14" i="1"/>
  <c r="AB14" i="1"/>
  <c r="AA14" i="1"/>
  <c r="Z14" i="1"/>
  <c r="X14" i="1"/>
  <c r="O14" i="1"/>
  <c r="N14" i="1"/>
  <c r="M14" i="1"/>
  <c r="L14" i="1"/>
  <c r="K14" i="1"/>
  <c r="I14" i="1"/>
  <c r="AS13" i="1"/>
  <c r="AR13" i="1"/>
  <c r="AQ13" i="1"/>
  <c r="AP13" i="1"/>
  <c r="AO13" i="1"/>
  <c r="AM13" i="1"/>
  <c r="AD13" i="1"/>
  <c r="AC13" i="1"/>
  <c r="AB13" i="1"/>
  <c r="AA13" i="1"/>
  <c r="Z13" i="1"/>
  <c r="X13" i="1"/>
  <c r="O13" i="1"/>
  <c r="H13" i="1"/>
  <c r="I13" i="1" s="1"/>
  <c r="AS12" i="1"/>
  <c r="AR12" i="1"/>
  <c r="AQ12" i="1"/>
  <c r="AP12" i="1"/>
  <c r="AO12" i="1"/>
  <c r="AM12" i="1"/>
  <c r="AD12" i="1"/>
  <c r="AC12" i="1"/>
  <c r="AB12" i="1"/>
  <c r="AA12" i="1"/>
  <c r="Z12" i="1"/>
  <c r="X12" i="1"/>
  <c r="O12" i="1"/>
  <c r="N12" i="1"/>
  <c r="M12" i="1"/>
  <c r="L12" i="1"/>
  <c r="K12" i="1"/>
  <c r="AS11" i="1"/>
  <c r="AR11" i="1"/>
  <c r="AQ11" i="1"/>
  <c r="AP11" i="1"/>
  <c r="AO11" i="1"/>
  <c r="AD11" i="1"/>
  <c r="AC11" i="1"/>
  <c r="AA11" i="1"/>
  <c r="Z11" i="1"/>
  <c r="O11" i="1"/>
  <c r="N11" i="1"/>
  <c r="M11" i="1"/>
  <c r="L11" i="1"/>
  <c r="K11" i="1"/>
  <c r="I11" i="1"/>
  <c r="AS10" i="1"/>
  <c r="AR10" i="1"/>
  <c r="AQ10" i="1"/>
  <c r="AP10" i="1"/>
  <c r="AO10" i="1"/>
  <c r="AM10" i="1"/>
  <c r="AD10" i="1"/>
  <c r="AC10" i="1"/>
  <c r="AB10" i="1"/>
  <c r="AA10" i="1"/>
  <c r="Z10" i="1"/>
  <c r="X10" i="1"/>
  <c r="O10" i="1"/>
  <c r="N10" i="1"/>
  <c r="M10" i="1"/>
  <c r="L10" i="1"/>
  <c r="K10" i="1"/>
  <c r="I10" i="1"/>
  <c r="AS9" i="1"/>
  <c r="AR9" i="1"/>
  <c r="AQ9" i="1"/>
  <c r="AP9" i="1"/>
  <c r="AO9" i="1"/>
  <c r="AM9" i="1"/>
  <c r="AD9" i="1"/>
  <c r="AC9" i="1"/>
  <c r="AB9" i="1"/>
  <c r="AA9" i="1"/>
  <c r="Z9" i="1"/>
  <c r="X9" i="1"/>
  <c r="O9" i="1"/>
  <c r="N9" i="1"/>
  <c r="M9" i="1"/>
  <c r="L9" i="1"/>
  <c r="K9" i="1"/>
  <c r="I9" i="1"/>
  <c r="AS8" i="1"/>
  <c r="AR8" i="1"/>
  <c r="AQ8" i="1"/>
  <c r="AP8" i="1"/>
  <c r="AO8" i="1"/>
  <c r="AM8" i="1"/>
  <c r="AD8" i="1"/>
  <c r="AC8" i="1"/>
  <c r="AB8" i="1"/>
  <c r="AA8" i="1"/>
  <c r="Z8" i="1"/>
  <c r="X8" i="1"/>
  <c r="O8" i="1"/>
  <c r="N8" i="1"/>
  <c r="M8" i="1"/>
  <c r="L8" i="1"/>
  <c r="K8" i="1"/>
  <c r="I8" i="1"/>
  <c r="AS7" i="1"/>
  <c r="AR7" i="1"/>
  <c r="AQ7" i="1"/>
  <c r="AP7" i="1"/>
  <c r="AO7" i="1"/>
  <c r="AM7" i="1"/>
  <c r="AD7" i="1"/>
  <c r="AC7" i="1"/>
  <c r="AB7" i="1"/>
  <c r="AA7" i="1"/>
  <c r="Z7" i="1"/>
  <c r="X7" i="1"/>
  <c r="O7" i="1"/>
  <c r="N7" i="1"/>
  <c r="M7" i="1"/>
  <c r="L7" i="1"/>
  <c r="K7" i="1"/>
  <c r="I7" i="1"/>
  <c r="AS6" i="1"/>
  <c r="AR6" i="1"/>
  <c r="AQ6" i="1"/>
  <c r="AP6" i="1"/>
  <c r="AO6" i="1"/>
  <c r="AM6" i="1"/>
  <c r="AD6" i="1"/>
  <c r="AC6" i="1"/>
  <c r="AB6" i="1"/>
  <c r="AA6" i="1"/>
  <c r="Z6" i="1"/>
  <c r="X6" i="1"/>
  <c r="O6" i="1"/>
  <c r="N6" i="1"/>
  <c r="M6" i="1"/>
  <c r="L6" i="1"/>
  <c r="K6" i="1"/>
  <c r="I6" i="1"/>
  <c r="AS5" i="1"/>
  <c r="AR5" i="1"/>
  <c r="AQ5" i="1"/>
  <c r="AP5" i="1"/>
  <c r="AO5" i="1"/>
  <c r="AM5" i="1"/>
  <c r="AD5" i="1"/>
  <c r="AC5" i="1"/>
  <c r="AB5" i="1"/>
  <c r="AA5" i="1"/>
  <c r="Z5" i="1"/>
  <c r="X5" i="1"/>
  <c r="O5" i="1"/>
  <c r="N5" i="1"/>
  <c r="L5" i="1"/>
  <c r="K5" i="1"/>
  <c r="I5" i="1"/>
  <c r="H5" i="1"/>
  <c r="M5" i="1" s="1"/>
  <c r="AM4" i="1"/>
  <c r="AD4" i="1"/>
  <c r="AC4" i="1"/>
  <c r="AB4" i="1"/>
  <c r="AA4" i="1"/>
  <c r="Z4" i="1"/>
  <c r="X4" i="1"/>
  <c r="N39" i="1" l="1"/>
  <c r="M13" i="1"/>
  <c r="AB23" i="1"/>
  <c r="N13" i="1"/>
  <c r="M17" i="1"/>
  <c r="AC23" i="1"/>
  <c r="AB25" i="1"/>
  <c r="AB26" i="1"/>
  <c r="AR31" i="1"/>
  <c r="I39" i="1"/>
  <c r="K13" i="1"/>
  <c r="I17" i="1"/>
  <c r="N17" i="1"/>
  <c r="Z23" i="1"/>
  <c r="X25" i="1"/>
  <c r="AC25" i="1"/>
  <c r="X26" i="1"/>
  <c r="AC26" i="1"/>
  <c r="L13" i="1"/>
  <c r="AA23" i="1"/>
  <c r="AO30" i="1"/>
  <c r="K39" i="1"/>
  <c r="L39" i="1"/>
</calcChain>
</file>

<file path=xl/sharedStrings.xml><?xml version="1.0" encoding="utf-8"?>
<sst xmlns="http://schemas.openxmlformats.org/spreadsheetml/2006/main" count="528" uniqueCount="35">
  <si>
    <t xml:space="preserve">Fecha de registro </t>
  </si>
  <si>
    <t>Núm de coneja</t>
  </si>
  <si>
    <t>Condición</t>
  </si>
  <si>
    <t>Umbrales analizados</t>
  </si>
  <si>
    <t>Amplitud (µV)</t>
  </si>
  <si>
    <t>Duracion (ms)</t>
  </si>
  <si>
    <t>Lat Inicio (ms)</t>
  </si>
  <si>
    <t>Lat Pico (ms)</t>
  </si>
  <si>
    <t>Velocidad (m/s)</t>
  </si>
  <si>
    <t>Anchura media (ms)</t>
  </si>
  <si>
    <t>Anchura (ms)</t>
  </si>
  <si>
    <t>Duración        Área        Velocidad</t>
  </si>
  <si>
    <t>Duración</t>
  </si>
  <si>
    <t>Área</t>
  </si>
  <si>
    <t>Velocidad</t>
  </si>
  <si>
    <t>Nervio femoral</t>
  </si>
  <si>
    <t>Umbral</t>
  </si>
  <si>
    <t>SHAM</t>
  </si>
  <si>
    <t>ARV L6</t>
  </si>
  <si>
    <t>X1</t>
  </si>
  <si>
    <t>23-juni-22</t>
  </si>
  <si>
    <t>ARV L6+ PPy</t>
  </si>
  <si>
    <t>X2</t>
  </si>
  <si>
    <t>X3</t>
  </si>
  <si>
    <t>X4</t>
  </si>
  <si>
    <t>X5</t>
  </si>
  <si>
    <t>X6</t>
  </si>
  <si>
    <t>Nervio peroneo</t>
  </si>
  <si>
    <t>22-juni-22</t>
  </si>
  <si>
    <t>22-sep-22</t>
  </si>
  <si>
    <t>7-abri-22</t>
  </si>
  <si>
    <t>14-novi-22</t>
  </si>
  <si>
    <t>21-septiem-22</t>
  </si>
  <si>
    <t>07-marz-23</t>
  </si>
  <si>
    <t>24-ma-23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</si>
</sst>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11" x14ac:knownFonts="1">
    <font>
      <sz val="12"/>
      <color theme="1"/>
      <name val="Aptos Narrow"/>
      <scheme val="minor"/>
    </font>
    <font>
      <sz val="12"/>
      <color theme="1"/>
      <name val="Arial Narrow"/>
    </font>
    <font>
      <b/>
      <sz val="12"/>
      <color theme="1"/>
      <name val="Arial Narrow"/>
    </font>
    <font>
      <sz val="12"/>
      <color theme="1"/>
      <name val="Arial"/>
    </font>
    <font>
      <sz val="12"/>
      <name val="Aptos Narrow"/>
    </font>
    <font>
      <sz val="12"/>
      <color theme="1"/>
      <name val="Aptos Narrow"/>
      <scheme val="minor"/>
    </font>
    <font>
      <sz val="12"/>
      <color rgb="FF222222"/>
      <name val="Arial"/>
    </font>
    <font>
      <sz val="11"/>
      <color theme="1"/>
      <name val="Arial Narrow"/>
    </font>
    <font>
      <sz val="12"/>
      <color rgb="FF000000"/>
      <name val="Arial Narrow"/>
    </font>
    <font>
      <sz val="12"/>
      <color rgb="FF1F1F1F"/>
      <name val="Arial Narrow"/>
    </font>
    <font>
      <sz val="12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1" fillId="0" borderId="2" xfId="0" applyFont="1" applyBorder="1" applyAlignment="1">
      <alignment horizontal="center"/>
    </xf>
    <xf numFmtId="0" fontId="5" fillId="0" borderId="0" xfId="0" applyFont="1"/>
    <xf numFmtId="0" fontId="6" fillId="5" borderId="0" xfId="0" applyFont="1" applyFill="1"/>
    <xf numFmtId="0" fontId="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15" fontId="1" fillId="0" borderId="1" xfId="0" applyNumberFormat="1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9" xfId="0" applyFont="1" applyBorder="1"/>
    <xf numFmtId="0" fontId="4" fillId="0" borderId="10" xfId="0" applyFont="1" applyBorder="1"/>
    <xf numFmtId="164" fontId="1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0"/>
  <sheetViews>
    <sheetView tabSelected="1" workbookViewId="0">
      <selection activeCell="D5" sqref="D5"/>
    </sheetView>
  </sheetViews>
  <sheetFormatPr baseColWidth="10" defaultColWidth="11.25" defaultRowHeight="15" customHeight="1" x14ac:dyDescent="0.25"/>
  <cols>
    <col min="1" max="1" width="16" customWidth="1"/>
    <col min="2" max="2" width="13.75" customWidth="1"/>
    <col min="3" max="3" width="10.5" customWidth="1"/>
    <col min="4" max="4" width="15.5" customWidth="1"/>
    <col min="5" max="5" width="15.125" customWidth="1"/>
    <col min="6" max="6" width="16.375" customWidth="1"/>
    <col min="7" max="7" width="14.5" customWidth="1"/>
    <col min="8" max="8" width="15.5" customWidth="1"/>
    <col min="9" max="9" width="14.375" customWidth="1"/>
    <col min="10" max="10" width="17.5" customWidth="1"/>
    <col min="11" max="15" width="10.5" customWidth="1"/>
    <col min="16" max="25" width="10.75" customWidth="1"/>
    <col min="26" max="33" width="10.5" customWidth="1"/>
    <col min="34" max="40" width="10.75" customWidth="1"/>
    <col min="41" max="45" width="10.5" customWidth="1"/>
  </cols>
  <sheetData>
    <row r="1" spans="1:45" ht="15.75" customHeight="1" x14ac:dyDescent="0.25">
      <c r="P1" s="1"/>
      <c r="Q1" s="1"/>
      <c r="R1" s="1"/>
      <c r="S1" s="1"/>
      <c r="T1" s="1"/>
      <c r="U1" s="1"/>
      <c r="V1" s="1"/>
      <c r="W1" s="1"/>
      <c r="X1" s="1"/>
      <c r="Y1" s="1"/>
      <c r="AH1" s="1"/>
      <c r="AI1" s="1"/>
      <c r="AJ1" s="1"/>
      <c r="AK1" s="1"/>
      <c r="AL1" s="1"/>
      <c r="AM1" s="1"/>
      <c r="AN1" s="1"/>
    </row>
    <row r="2" spans="1:45" ht="15.75" customHeight="1" x14ac:dyDescent="0.25">
      <c r="A2" s="37" t="s">
        <v>0</v>
      </c>
      <c r="B2" s="37" t="s">
        <v>1</v>
      </c>
      <c r="C2" s="37" t="s">
        <v>2</v>
      </c>
      <c r="D2" s="37" t="s">
        <v>3</v>
      </c>
      <c r="E2" s="40" t="s">
        <v>4</v>
      </c>
      <c r="F2" s="37" t="s">
        <v>5</v>
      </c>
      <c r="G2" s="41" t="s">
        <v>6</v>
      </c>
      <c r="H2" s="40" t="s">
        <v>7</v>
      </c>
      <c r="I2" s="37" t="s">
        <v>8</v>
      </c>
      <c r="J2" s="37" t="s">
        <v>9</v>
      </c>
      <c r="P2" s="37" t="s">
        <v>0</v>
      </c>
      <c r="Q2" s="37" t="s">
        <v>1</v>
      </c>
      <c r="R2" s="37" t="s">
        <v>2</v>
      </c>
      <c r="S2" s="2" t="s">
        <v>3</v>
      </c>
      <c r="T2" s="2" t="s">
        <v>4</v>
      </c>
      <c r="U2" s="2" t="s">
        <v>5</v>
      </c>
      <c r="V2" s="3" t="s">
        <v>6</v>
      </c>
      <c r="W2" s="2" t="s">
        <v>7</v>
      </c>
      <c r="X2" s="3" t="s">
        <v>8</v>
      </c>
      <c r="Y2" s="2" t="s">
        <v>10</v>
      </c>
      <c r="Z2" s="4" t="s">
        <v>11</v>
      </c>
      <c r="AE2" s="37" t="s">
        <v>0</v>
      </c>
      <c r="AF2" s="37" t="s">
        <v>1</v>
      </c>
      <c r="AG2" s="37" t="s">
        <v>2</v>
      </c>
      <c r="AH2" s="2" t="s">
        <v>3</v>
      </c>
      <c r="AI2" s="2" t="s">
        <v>4</v>
      </c>
      <c r="AJ2" s="2" t="s">
        <v>5</v>
      </c>
      <c r="AK2" s="3" t="s">
        <v>6</v>
      </c>
      <c r="AL2" s="2" t="s">
        <v>7</v>
      </c>
      <c r="AM2" s="3" t="s">
        <v>8</v>
      </c>
      <c r="AN2" s="2" t="s">
        <v>10</v>
      </c>
    </row>
    <row r="3" spans="1:45" ht="15.75" customHeight="1" x14ac:dyDescent="0.25">
      <c r="A3" s="25"/>
      <c r="B3" s="25"/>
      <c r="C3" s="25"/>
      <c r="D3" s="26"/>
      <c r="E3" s="26"/>
      <c r="F3" s="26"/>
      <c r="G3" s="26"/>
      <c r="H3" s="26"/>
      <c r="I3" s="26"/>
      <c r="J3" s="26"/>
      <c r="K3" s="5" t="s">
        <v>12</v>
      </c>
      <c r="L3" s="5" t="s">
        <v>13</v>
      </c>
      <c r="M3" s="6" t="s">
        <v>14</v>
      </c>
      <c r="N3" s="6"/>
      <c r="O3" s="6"/>
      <c r="P3" s="25"/>
      <c r="Q3" s="25"/>
      <c r="R3" s="25"/>
      <c r="S3" s="32" t="s">
        <v>15</v>
      </c>
      <c r="T3" s="33"/>
      <c r="U3" s="33"/>
      <c r="V3" s="33"/>
      <c r="W3" s="33"/>
      <c r="X3" s="33"/>
      <c r="Y3" s="34"/>
      <c r="AE3" s="25"/>
      <c r="AF3" s="25"/>
      <c r="AG3" s="25"/>
      <c r="AH3" s="32" t="s">
        <v>15</v>
      </c>
      <c r="AI3" s="33"/>
      <c r="AJ3" s="33"/>
      <c r="AK3" s="33"/>
      <c r="AL3" s="33"/>
      <c r="AM3" s="33"/>
      <c r="AN3" s="34"/>
      <c r="AO3" s="4" t="s">
        <v>11</v>
      </c>
    </row>
    <row r="4" spans="1:45" ht="15.75" customHeight="1" x14ac:dyDescent="0.25">
      <c r="A4" s="26"/>
      <c r="B4" s="26"/>
      <c r="C4" s="26"/>
      <c r="D4" s="32" t="s">
        <v>15</v>
      </c>
      <c r="E4" s="33"/>
      <c r="F4" s="33"/>
      <c r="G4" s="33"/>
      <c r="H4" s="33"/>
      <c r="I4" s="33"/>
      <c r="J4" s="34"/>
      <c r="P4" s="26"/>
      <c r="Q4" s="26"/>
      <c r="R4" s="26"/>
      <c r="S4" s="7" t="s">
        <v>16</v>
      </c>
      <c r="T4" s="7">
        <v>2200</v>
      </c>
      <c r="U4" s="7">
        <v>0.6</v>
      </c>
      <c r="V4" s="7">
        <v>0.35</v>
      </c>
      <c r="W4" s="7">
        <v>0.4</v>
      </c>
      <c r="X4" s="7">
        <f t="shared" ref="X4:X10" si="0">1.5/W4</f>
        <v>3.75</v>
      </c>
      <c r="Y4" s="7">
        <v>0.45</v>
      </c>
      <c r="Z4" s="8">
        <f t="shared" ref="Z4:Z19" si="1">(W4-V4)*2</f>
        <v>0.10000000000000009</v>
      </c>
      <c r="AA4" s="9">
        <f t="shared" ref="AA4:AA19" si="2">((W4-V4)*T4)*2</f>
        <v>220.0000000000002</v>
      </c>
      <c r="AB4" s="8">
        <f t="shared" ref="AB4:AB10" si="3">(1.5/W4)</f>
        <v>3.75</v>
      </c>
      <c r="AC4" s="8">
        <f t="shared" ref="AC4:AC121" si="4">(1.5)/(W4-V4)</f>
        <v>29.999999999999972</v>
      </c>
      <c r="AD4" s="8">
        <f t="shared" ref="AD4:AD121" si="5">(1.5)/(V4)</f>
        <v>4.2857142857142856</v>
      </c>
      <c r="AE4" s="26"/>
      <c r="AF4" s="26"/>
      <c r="AG4" s="26"/>
      <c r="AH4" s="7" t="s">
        <v>16</v>
      </c>
      <c r="AI4" s="7">
        <v>2000</v>
      </c>
      <c r="AJ4" s="7">
        <v>0.6</v>
      </c>
      <c r="AK4" s="7">
        <v>0.3</v>
      </c>
      <c r="AL4" s="7">
        <v>0.6</v>
      </c>
      <c r="AM4" s="7">
        <f t="shared" ref="AM4:AM10" si="6">1.5/AL4</f>
        <v>2.5</v>
      </c>
      <c r="AN4" s="7">
        <v>0.45</v>
      </c>
    </row>
    <row r="5" spans="1:45" ht="15.75" customHeight="1" x14ac:dyDescent="0.3">
      <c r="A5" s="24">
        <v>44524</v>
      </c>
      <c r="B5" s="27">
        <v>994</v>
      </c>
      <c r="C5" s="27" t="s">
        <v>17</v>
      </c>
      <c r="D5" s="43" t="s">
        <v>16</v>
      </c>
      <c r="E5" s="10">
        <v>1200</v>
      </c>
      <c r="F5" s="10">
        <v>0.8</v>
      </c>
      <c r="G5" s="11">
        <v>0.3</v>
      </c>
      <c r="H5" s="10">
        <f>700/1000</f>
        <v>0.7</v>
      </c>
      <c r="I5" s="10">
        <f t="shared" ref="I5:I11" si="7">1.5/H5</f>
        <v>2.1428571428571428</v>
      </c>
      <c r="J5" s="7">
        <v>0.45</v>
      </c>
      <c r="K5" s="8">
        <f t="shared" ref="K5:K122" si="8">(H5-G5)*2</f>
        <v>0.79999999999999993</v>
      </c>
      <c r="L5" s="9">
        <f t="shared" ref="L5:L122" si="9">((H5-G5)*E5)*2</f>
        <v>959.99999999999989</v>
      </c>
      <c r="M5" s="8">
        <f t="shared" ref="M5:M122" si="10">(1.5/H5)</f>
        <v>2.1428571428571428</v>
      </c>
      <c r="N5" s="8">
        <f t="shared" ref="N5:N122" si="11">(1.5)/(H5-G5)</f>
        <v>3.7500000000000004</v>
      </c>
      <c r="O5" s="8">
        <f t="shared" ref="O5:O122" si="12">(1.5)/(G5)</f>
        <v>5</v>
      </c>
      <c r="P5" s="24">
        <v>44746</v>
      </c>
      <c r="Q5" s="27">
        <v>241</v>
      </c>
      <c r="R5" s="27" t="s">
        <v>18</v>
      </c>
      <c r="S5" s="7" t="s">
        <v>19</v>
      </c>
      <c r="T5" s="7">
        <v>2500</v>
      </c>
      <c r="U5" s="7">
        <v>0.6</v>
      </c>
      <c r="V5" s="7">
        <v>0.3</v>
      </c>
      <c r="W5" s="7">
        <v>0.45</v>
      </c>
      <c r="X5" s="7">
        <f t="shared" si="0"/>
        <v>3.333333333333333</v>
      </c>
      <c r="Y5" s="7">
        <v>0.45</v>
      </c>
      <c r="Z5" s="8">
        <f t="shared" si="1"/>
        <v>0.30000000000000004</v>
      </c>
      <c r="AA5" s="9">
        <f t="shared" si="2"/>
        <v>750.00000000000011</v>
      </c>
      <c r="AB5" s="8">
        <f t="shared" si="3"/>
        <v>3.333333333333333</v>
      </c>
      <c r="AC5" s="8">
        <f t="shared" si="4"/>
        <v>9.9999999999999982</v>
      </c>
      <c r="AD5" s="8">
        <f t="shared" si="5"/>
        <v>5</v>
      </c>
      <c r="AE5" s="27" t="s">
        <v>20</v>
      </c>
      <c r="AF5" s="27">
        <v>265</v>
      </c>
      <c r="AG5" s="27" t="s">
        <v>21</v>
      </c>
      <c r="AH5" s="7" t="s">
        <v>19</v>
      </c>
      <c r="AI5" s="7">
        <v>2600</v>
      </c>
      <c r="AJ5" s="7">
        <v>0.65</v>
      </c>
      <c r="AK5" s="7">
        <v>0.35</v>
      </c>
      <c r="AL5" s="7">
        <v>0.6</v>
      </c>
      <c r="AM5" s="7">
        <f t="shared" si="6"/>
        <v>2.5</v>
      </c>
      <c r="AN5" s="7">
        <v>0.45</v>
      </c>
      <c r="AO5" s="8">
        <f t="shared" ref="AO5:AO120" si="13">(AL5-AK5)*2</f>
        <v>0.5</v>
      </c>
      <c r="AP5" s="9">
        <f t="shared" ref="AP5:AP120" si="14">((AL5-AK5)*AI5)*2</f>
        <v>1300</v>
      </c>
      <c r="AQ5" s="8">
        <f t="shared" ref="AQ5:AQ120" si="15">(1.5/AL5)</f>
        <v>2.5</v>
      </c>
      <c r="AR5" s="8">
        <f t="shared" ref="AR5:AR120" si="16">(1.5)/(AL4-AK4)</f>
        <v>5</v>
      </c>
      <c r="AS5" s="8">
        <f t="shared" ref="AS5:AS120" si="17">(1.5)/(AK5)</f>
        <v>4.2857142857142856</v>
      </c>
    </row>
    <row r="6" spans="1:45" ht="15.75" customHeight="1" x14ac:dyDescent="0.3">
      <c r="A6" s="25"/>
      <c r="B6" s="25"/>
      <c r="C6" s="25"/>
      <c r="D6" s="7" t="s">
        <v>19</v>
      </c>
      <c r="E6" s="10">
        <v>1250</v>
      </c>
      <c r="F6" s="10">
        <v>0.8</v>
      </c>
      <c r="G6" s="11">
        <v>0.3</v>
      </c>
      <c r="H6" s="10">
        <v>0.7</v>
      </c>
      <c r="I6" s="10">
        <f t="shared" si="7"/>
        <v>2.1428571428571428</v>
      </c>
      <c r="J6" s="7">
        <v>0.45</v>
      </c>
      <c r="K6" s="8">
        <f t="shared" si="8"/>
        <v>0.79999999999999993</v>
      </c>
      <c r="L6" s="9">
        <f t="shared" si="9"/>
        <v>999.99999999999989</v>
      </c>
      <c r="M6" s="8">
        <f t="shared" si="10"/>
        <v>2.1428571428571428</v>
      </c>
      <c r="N6" s="8">
        <f t="shared" si="11"/>
        <v>3.7500000000000004</v>
      </c>
      <c r="O6" s="8">
        <f t="shared" si="12"/>
        <v>5</v>
      </c>
      <c r="P6" s="25"/>
      <c r="Q6" s="25"/>
      <c r="R6" s="25"/>
      <c r="S6" s="7" t="s">
        <v>22</v>
      </c>
      <c r="T6" s="7">
        <v>3400</v>
      </c>
      <c r="U6" s="7">
        <v>0.7</v>
      </c>
      <c r="V6" s="7">
        <v>0.4</v>
      </c>
      <c r="W6" s="7">
        <v>0.45</v>
      </c>
      <c r="X6" s="7">
        <f t="shared" si="0"/>
        <v>3.333333333333333</v>
      </c>
      <c r="Y6" s="7">
        <v>0.45</v>
      </c>
      <c r="Z6" s="8">
        <f t="shared" si="1"/>
        <v>9.9999999999999978E-2</v>
      </c>
      <c r="AA6" s="9">
        <f t="shared" si="2"/>
        <v>339.99999999999994</v>
      </c>
      <c r="AB6" s="8">
        <f t="shared" si="3"/>
        <v>3.333333333333333</v>
      </c>
      <c r="AC6" s="8">
        <f t="shared" si="4"/>
        <v>30.000000000000007</v>
      </c>
      <c r="AD6" s="8">
        <f t="shared" si="5"/>
        <v>3.75</v>
      </c>
      <c r="AE6" s="25"/>
      <c r="AF6" s="25"/>
      <c r="AG6" s="25"/>
      <c r="AH6" s="7" t="s">
        <v>22</v>
      </c>
      <c r="AI6" s="7">
        <v>3040</v>
      </c>
      <c r="AJ6" s="7">
        <v>0.7</v>
      </c>
      <c r="AK6" s="7">
        <v>0.38</v>
      </c>
      <c r="AL6" s="7">
        <v>0.65</v>
      </c>
      <c r="AM6" s="7">
        <f t="shared" si="6"/>
        <v>2.3076923076923075</v>
      </c>
      <c r="AN6" s="7">
        <v>0.5</v>
      </c>
      <c r="AO6" s="8">
        <f t="shared" si="13"/>
        <v>0.54</v>
      </c>
      <c r="AP6" s="9">
        <f t="shared" si="14"/>
        <v>1641.6000000000001</v>
      </c>
      <c r="AQ6" s="8">
        <f t="shared" si="15"/>
        <v>2.3076923076923075</v>
      </c>
      <c r="AR6" s="8">
        <f t="shared" si="16"/>
        <v>6</v>
      </c>
      <c r="AS6" s="8">
        <f t="shared" si="17"/>
        <v>3.9473684210526314</v>
      </c>
    </row>
    <row r="7" spans="1:45" ht="15.75" customHeight="1" x14ac:dyDescent="0.3">
      <c r="A7" s="25"/>
      <c r="B7" s="25"/>
      <c r="C7" s="25"/>
      <c r="D7" s="42" t="s">
        <v>22</v>
      </c>
      <c r="E7" s="10">
        <v>3500</v>
      </c>
      <c r="F7" s="10">
        <v>1.2</v>
      </c>
      <c r="G7" s="11">
        <v>0.35</v>
      </c>
      <c r="H7" s="10">
        <v>0.65</v>
      </c>
      <c r="I7" s="10">
        <f t="shared" si="7"/>
        <v>2.3076923076923075</v>
      </c>
      <c r="J7" s="7">
        <v>0.7</v>
      </c>
      <c r="K7" s="8">
        <f t="shared" si="8"/>
        <v>0.60000000000000009</v>
      </c>
      <c r="L7" s="9">
        <f t="shared" si="9"/>
        <v>2100.0000000000005</v>
      </c>
      <c r="M7" s="8">
        <f t="shared" si="10"/>
        <v>2.3076923076923075</v>
      </c>
      <c r="N7" s="8">
        <f t="shared" si="11"/>
        <v>4.9999999999999991</v>
      </c>
      <c r="O7" s="8">
        <f t="shared" si="12"/>
        <v>4.2857142857142856</v>
      </c>
      <c r="P7" s="25"/>
      <c r="Q7" s="25"/>
      <c r="R7" s="25"/>
      <c r="S7" s="7" t="s">
        <v>23</v>
      </c>
      <c r="T7" s="7">
        <v>3480</v>
      </c>
      <c r="U7" s="7">
        <v>0.7</v>
      </c>
      <c r="V7" s="7">
        <v>0.4</v>
      </c>
      <c r="W7" s="7">
        <v>0.45</v>
      </c>
      <c r="X7" s="7">
        <f t="shared" si="0"/>
        <v>3.333333333333333</v>
      </c>
      <c r="Y7" s="7">
        <v>0.4</v>
      </c>
      <c r="Z7" s="8">
        <f t="shared" si="1"/>
        <v>9.9999999999999978E-2</v>
      </c>
      <c r="AA7" s="9">
        <f t="shared" si="2"/>
        <v>347.99999999999994</v>
      </c>
      <c r="AB7" s="8">
        <f t="shared" si="3"/>
        <v>3.333333333333333</v>
      </c>
      <c r="AC7" s="8">
        <f t="shared" si="4"/>
        <v>30.000000000000007</v>
      </c>
      <c r="AD7" s="8">
        <f t="shared" si="5"/>
        <v>3.75</v>
      </c>
      <c r="AE7" s="25"/>
      <c r="AF7" s="25"/>
      <c r="AG7" s="25"/>
      <c r="AH7" s="7" t="s">
        <v>23</v>
      </c>
      <c r="AI7" s="7">
        <v>4000</v>
      </c>
      <c r="AJ7" s="7">
        <v>0.75</v>
      </c>
      <c r="AK7" s="7">
        <v>0.4</v>
      </c>
      <c r="AL7" s="7">
        <v>0.7</v>
      </c>
      <c r="AM7" s="7">
        <f t="shared" si="6"/>
        <v>2.1428571428571428</v>
      </c>
      <c r="AN7" s="7">
        <v>0.55000000000000004</v>
      </c>
      <c r="AO7" s="8">
        <f t="shared" si="13"/>
        <v>0.59999999999999987</v>
      </c>
      <c r="AP7" s="9">
        <f t="shared" si="14"/>
        <v>2399.9999999999995</v>
      </c>
      <c r="AQ7" s="8">
        <f t="shared" si="15"/>
        <v>2.1428571428571428</v>
      </c>
      <c r="AR7" s="8">
        <f t="shared" si="16"/>
        <v>5.5555555555555554</v>
      </c>
      <c r="AS7" s="8">
        <f t="shared" si="17"/>
        <v>3.75</v>
      </c>
    </row>
    <row r="8" spans="1:45" ht="15.75" customHeight="1" x14ac:dyDescent="0.3">
      <c r="A8" s="25"/>
      <c r="B8" s="25"/>
      <c r="C8" s="25"/>
      <c r="D8" s="7" t="s">
        <v>23</v>
      </c>
      <c r="E8" s="10">
        <v>4100</v>
      </c>
      <c r="F8" s="10">
        <v>1.2</v>
      </c>
      <c r="G8" s="11">
        <v>0.35</v>
      </c>
      <c r="H8" s="10">
        <v>0.65</v>
      </c>
      <c r="I8" s="10">
        <f t="shared" si="7"/>
        <v>2.3076923076923075</v>
      </c>
      <c r="J8" s="7">
        <v>0.7</v>
      </c>
      <c r="K8" s="8">
        <f t="shared" si="8"/>
        <v>0.60000000000000009</v>
      </c>
      <c r="L8" s="9">
        <f t="shared" si="9"/>
        <v>2460.0000000000005</v>
      </c>
      <c r="M8" s="8">
        <f t="shared" si="10"/>
        <v>2.3076923076923075</v>
      </c>
      <c r="N8" s="8">
        <f t="shared" si="11"/>
        <v>4.9999999999999991</v>
      </c>
      <c r="O8" s="8">
        <f t="shared" si="12"/>
        <v>4.2857142857142856</v>
      </c>
      <c r="P8" s="25"/>
      <c r="Q8" s="25"/>
      <c r="R8" s="25"/>
      <c r="S8" s="7" t="s">
        <v>24</v>
      </c>
      <c r="T8" s="7">
        <v>2200</v>
      </c>
      <c r="U8" s="7">
        <v>0.6</v>
      </c>
      <c r="V8" s="7">
        <v>0.3</v>
      </c>
      <c r="W8" s="7">
        <v>0.45</v>
      </c>
      <c r="X8" s="7">
        <f t="shared" si="0"/>
        <v>3.333333333333333</v>
      </c>
      <c r="Y8" s="7">
        <v>0.4</v>
      </c>
      <c r="Z8" s="8">
        <f t="shared" si="1"/>
        <v>0.30000000000000004</v>
      </c>
      <c r="AA8" s="9">
        <f t="shared" si="2"/>
        <v>660.00000000000011</v>
      </c>
      <c r="AB8" s="8">
        <f t="shared" si="3"/>
        <v>3.333333333333333</v>
      </c>
      <c r="AC8" s="8">
        <f t="shared" si="4"/>
        <v>9.9999999999999982</v>
      </c>
      <c r="AD8" s="8">
        <f t="shared" si="5"/>
        <v>5</v>
      </c>
      <c r="AE8" s="25"/>
      <c r="AF8" s="25"/>
      <c r="AG8" s="25"/>
      <c r="AH8" s="7" t="s">
        <v>24</v>
      </c>
      <c r="AI8" s="7">
        <v>4440</v>
      </c>
      <c r="AJ8" s="7">
        <v>0.75</v>
      </c>
      <c r="AK8" s="7">
        <v>0.4</v>
      </c>
      <c r="AL8" s="7">
        <v>0.7</v>
      </c>
      <c r="AM8" s="7">
        <f t="shared" si="6"/>
        <v>2.1428571428571428</v>
      </c>
      <c r="AN8" s="7">
        <v>0.55000000000000004</v>
      </c>
      <c r="AO8" s="8">
        <f t="shared" si="13"/>
        <v>0.59999999999999987</v>
      </c>
      <c r="AP8" s="9">
        <f t="shared" si="14"/>
        <v>2663.9999999999995</v>
      </c>
      <c r="AQ8" s="8">
        <f t="shared" si="15"/>
        <v>2.1428571428571428</v>
      </c>
      <c r="AR8" s="8">
        <f t="shared" si="16"/>
        <v>5.0000000000000009</v>
      </c>
      <c r="AS8" s="8">
        <f t="shared" si="17"/>
        <v>3.75</v>
      </c>
    </row>
    <row r="9" spans="1:45" ht="15.75" customHeight="1" x14ac:dyDescent="0.3">
      <c r="A9" s="25"/>
      <c r="B9" s="25"/>
      <c r="C9" s="25"/>
      <c r="D9" s="42" t="s">
        <v>24</v>
      </c>
      <c r="E9" s="10">
        <v>4200</v>
      </c>
      <c r="F9" s="11">
        <v>1.4</v>
      </c>
      <c r="G9" s="10">
        <v>0.4</v>
      </c>
      <c r="H9" s="10">
        <v>0.55000000000000004</v>
      </c>
      <c r="I9" s="10">
        <f t="shared" si="7"/>
        <v>2.7272727272727271</v>
      </c>
      <c r="J9" s="12">
        <v>0.65</v>
      </c>
      <c r="K9" s="8">
        <f t="shared" si="8"/>
        <v>0.30000000000000004</v>
      </c>
      <c r="L9" s="9">
        <f t="shared" si="9"/>
        <v>1260.0000000000002</v>
      </c>
      <c r="M9" s="8">
        <f t="shared" si="10"/>
        <v>2.7272727272727271</v>
      </c>
      <c r="N9" s="8">
        <f t="shared" si="11"/>
        <v>9.9999999999999982</v>
      </c>
      <c r="O9" s="8">
        <f t="shared" si="12"/>
        <v>3.75</v>
      </c>
      <c r="P9" s="25"/>
      <c r="Q9" s="25"/>
      <c r="R9" s="25"/>
      <c r="S9" s="7" t="s">
        <v>25</v>
      </c>
      <c r="T9" s="7">
        <v>1400</v>
      </c>
      <c r="U9" s="7">
        <v>0.6</v>
      </c>
      <c r="V9" s="7">
        <v>0.3</v>
      </c>
      <c r="W9" s="7">
        <v>0.45</v>
      </c>
      <c r="X9" s="7">
        <f t="shared" si="0"/>
        <v>3.333333333333333</v>
      </c>
      <c r="Y9" s="7">
        <v>0.4</v>
      </c>
      <c r="Z9" s="8">
        <f t="shared" si="1"/>
        <v>0.30000000000000004</v>
      </c>
      <c r="AA9" s="9">
        <f t="shared" si="2"/>
        <v>420.00000000000006</v>
      </c>
      <c r="AB9" s="8">
        <f t="shared" si="3"/>
        <v>3.333333333333333</v>
      </c>
      <c r="AC9" s="8">
        <f t="shared" si="4"/>
        <v>9.9999999999999982</v>
      </c>
      <c r="AD9" s="8">
        <f t="shared" si="5"/>
        <v>5</v>
      </c>
      <c r="AE9" s="25"/>
      <c r="AF9" s="25"/>
      <c r="AG9" s="25"/>
      <c r="AH9" s="7" t="s">
        <v>25</v>
      </c>
      <c r="AI9" s="7">
        <v>4080</v>
      </c>
      <c r="AJ9" s="7">
        <v>0.7</v>
      </c>
      <c r="AK9" s="7">
        <v>0.4</v>
      </c>
      <c r="AL9" s="7">
        <v>0.6</v>
      </c>
      <c r="AM9" s="7">
        <f t="shared" si="6"/>
        <v>2.5</v>
      </c>
      <c r="AN9" s="7">
        <v>0.45</v>
      </c>
      <c r="AO9" s="8">
        <f t="shared" si="13"/>
        <v>0.39999999999999991</v>
      </c>
      <c r="AP9" s="9">
        <f t="shared" si="14"/>
        <v>1631.9999999999995</v>
      </c>
      <c r="AQ9" s="8">
        <f t="shared" si="15"/>
        <v>2.5</v>
      </c>
      <c r="AR9" s="8">
        <f t="shared" si="16"/>
        <v>5.0000000000000009</v>
      </c>
      <c r="AS9" s="8">
        <f t="shared" si="17"/>
        <v>3.75</v>
      </c>
    </row>
    <row r="10" spans="1:45" ht="15.75" customHeight="1" x14ac:dyDescent="0.3">
      <c r="A10" s="25"/>
      <c r="B10" s="25"/>
      <c r="C10" s="25"/>
      <c r="D10" s="7" t="s">
        <v>25</v>
      </c>
      <c r="E10" s="10">
        <v>4200</v>
      </c>
      <c r="F10" s="11">
        <v>1.4</v>
      </c>
      <c r="G10" s="10">
        <v>0.4</v>
      </c>
      <c r="H10" s="10">
        <v>0.55000000000000004</v>
      </c>
      <c r="I10" s="10">
        <f t="shared" si="7"/>
        <v>2.7272727272727271</v>
      </c>
      <c r="J10" s="12">
        <v>0.65</v>
      </c>
      <c r="K10" s="8">
        <f t="shared" si="8"/>
        <v>0.30000000000000004</v>
      </c>
      <c r="L10" s="9">
        <f t="shared" si="9"/>
        <v>1260.0000000000002</v>
      </c>
      <c r="M10" s="8">
        <f t="shared" si="10"/>
        <v>2.7272727272727271</v>
      </c>
      <c r="N10" s="8">
        <f t="shared" si="11"/>
        <v>9.9999999999999982</v>
      </c>
      <c r="O10" s="8">
        <f t="shared" si="12"/>
        <v>3.75</v>
      </c>
      <c r="P10" s="25"/>
      <c r="Q10" s="25"/>
      <c r="R10" s="25"/>
      <c r="S10" s="7" t="s">
        <v>26</v>
      </c>
      <c r="T10" s="7">
        <v>1200</v>
      </c>
      <c r="U10" s="7">
        <v>0.6</v>
      </c>
      <c r="V10" s="7">
        <v>0.3</v>
      </c>
      <c r="W10" s="7">
        <v>0.45</v>
      </c>
      <c r="X10" s="7">
        <f t="shared" si="0"/>
        <v>3.333333333333333</v>
      </c>
      <c r="Y10" s="7">
        <v>0.4</v>
      </c>
      <c r="Z10" s="8">
        <f t="shared" si="1"/>
        <v>0.30000000000000004</v>
      </c>
      <c r="AA10" s="9">
        <f t="shared" si="2"/>
        <v>360.00000000000006</v>
      </c>
      <c r="AB10" s="8">
        <f t="shared" si="3"/>
        <v>3.333333333333333</v>
      </c>
      <c r="AC10" s="8">
        <f t="shared" si="4"/>
        <v>9.9999999999999982</v>
      </c>
      <c r="AD10" s="8">
        <f t="shared" si="5"/>
        <v>5</v>
      </c>
      <c r="AE10" s="25"/>
      <c r="AF10" s="25"/>
      <c r="AG10" s="25"/>
      <c r="AH10" s="7" t="s">
        <v>26</v>
      </c>
      <c r="AI10" s="7">
        <v>4500</v>
      </c>
      <c r="AJ10" s="7">
        <v>0.7</v>
      </c>
      <c r="AK10" s="7">
        <v>0.4</v>
      </c>
      <c r="AL10" s="7">
        <v>0.6</v>
      </c>
      <c r="AM10" s="7">
        <f t="shared" si="6"/>
        <v>2.5</v>
      </c>
      <c r="AN10" s="7">
        <v>0.45</v>
      </c>
      <c r="AO10" s="8">
        <f t="shared" si="13"/>
        <v>0.39999999999999991</v>
      </c>
      <c r="AP10" s="9">
        <f t="shared" si="14"/>
        <v>1799.9999999999995</v>
      </c>
      <c r="AQ10" s="8">
        <f t="shared" si="15"/>
        <v>2.5</v>
      </c>
      <c r="AR10" s="8">
        <f t="shared" si="16"/>
        <v>7.5000000000000018</v>
      </c>
      <c r="AS10" s="8">
        <f t="shared" si="17"/>
        <v>3.75</v>
      </c>
    </row>
    <row r="11" spans="1:45" ht="15.75" customHeight="1" x14ac:dyDescent="0.3">
      <c r="A11" s="25"/>
      <c r="B11" s="25"/>
      <c r="C11" s="25"/>
      <c r="D11" s="7" t="s">
        <v>26</v>
      </c>
      <c r="E11" s="10">
        <v>4200</v>
      </c>
      <c r="F11" s="11">
        <v>1.4</v>
      </c>
      <c r="G11" s="10">
        <v>0.4</v>
      </c>
      <c r="H11" s="10">
        <v>0.65</v>
      </c>
      <c r="I11" s="10">
        <f t="shared" si="7"/>
        <v>2.3076923076923075</v>
      </c>
      <c r="J11" s="12">
        <v>0.7</v>
      </c>
      <c r="K11" s="8">
        <f t="shared" si="8"/>
        <v>0.5</v>
      </c>
      <c r="L11" s="9">
        <f t="shared" si="9"/>
        <v>2100</v>
      </c>
      <c r="M11" s="8">
        <f t="shared" si="10"/>
        <v>2.3076923076923075</v>
      </c>
      <c r="N11" s="8">
        <f t="shared" si="11"/>
        <v>6</v>
      </c>
      <c r="O11" s="8">
        <f t="shared" si="12"/>
        <v>3.75</v>
      </c>
      <c r="P11" s="25"/>
      <c r="Q11" s="25"/>
      <c r="R11" s="25"/>
      <c r="S11" s="32" t="s">
        <v>27</v>
      </c>
      <c r="T11" s="33"/>
      <c r="U11" s="33"/>
      <c r="V11" s="33"/>
      <c r="W11" s="33"/>
      <c r="X11" s="33"/>
      <c r="Y11" s="34"/>
      <c r="Z11" s="8">
        <f t="shared" si="1"/>
        <v>0</v>
      </c>
      <c r="AA11" s="9">
        <f t="shared" si="2"/>
        <v>0</v>
      </c>
      <c r="AC11" s="8" t="e">
        <f t="shared" si="4"/>
        <v>#DIV/0!</v>
      </c>
      <c r="AD11" s="8" t="e">
        <f t="shared" si="5"/>
        <v>#DIV/0!</v>
      </c>
      <c r="AE11" s="25"/>
      <c r="AF11" s="25"/>
      <c r="AG11" s="25"/>
      <c r="AH11" s="32" t="s">
        <v>27</v>
      </c>
      <c r="AI11" s="33"/>
      <c r="AJ11" s="33"/>
      <c r="AK11" s="33"/>
      <c r="AL11" s="33"/>
      <c r="AM11" s="33"/>
      <c r="AN11" s="34"/>
      <c r="AO11" s="8">
        <f t="shared" si="13"/>
        <v>0</v>
      </c>
      <c r="AP11" s="9">
        <f t="shared" si="14"/>
        <v>0</v>
      </c>
      <c r="AQ11" s="8" t="e">
        <f t="shared" si="15"/>
        <v>#DIV/0!</v>
      </c>
      <c r="AR11" s="8">
        <f t="shared" si="16"/>
        <v>7.5000000000000018</v>
      </c>
      <c r="AS11" s="8" t="e">
        <f t="shared" si="17"/>
        <v>#DIV/0!</v>
      </c>
    </row>
    <row r="12" spans="1:45" ht="15.75" customHeight="1" x14ac:dyDescent="0.25">
      <c r="A12" s="25"/>
      <c r="B12" s="25"/>
      <c r="C12" s="25"/>
      <c r="D12" s="32" t="s">
        <v>27</v>
      </c>
      <c r="E12" s="33"/>
      <c r="F12" s="33"/>
      <c r="G12" s="33"/>
      <c r="H12" s="33"/>
      <c r="I12" s="33"/>
      <c r="J12" s="34"/>
      <c r="K12" s="8">
        <f t="shared" si="8"/>
        <v>0</v>
      </c>
      <c r="L12" s="9">
        <f t="shared" si="9"/>
        <v>0</v>
      </c>
      <c r="M12" s="8" t="e">
        <f t="shared" si="10"/>
        <v>#DIV/0!</v>
      </c>
      <c r="N12" s="8" t="e">
        <f t="shared" si="11"/>
        <v>#DIV/0!</v>
      </c>
      <c r="O12" s="8" t="e">
        <f t="shared" si="12"/>
        <v>#DIV/0!</v>
      </c>
      <c r="P12" s="25"/>
      <c r="Q12" s="25"/>
      <c r="R12" s="25"/>
      <c r="S12" s="7" t="s">
        <v>16</v>
      </c>
      <c r="T12" s="7">
        <v>1200</v>
      </c>
      <c r="U12" s="7">
        <v>0.6</v>
      </c>
      <c r="V12" s="7">
        <v>0.3</v>
      </c>
      <c r="W12" s="7">
        <v>0.55000000000000004</v>
      </c>
      <c r="X12" s="7">
        <f t="shared" ref="X12:X18" si="18">1.5/W12</f>
        <v>2.7272727272727271</v>
      </c>
      <c r="Y12" s="7">
        <v>0.45</v>
      </c>
      <c r="Z12" s="8">
        <f t="shared" si="1"/>
        <v>0.50000000000000011</v>
      </c>
      <c r="AA12" s="9">
        <f t="shared" si="2"/>
        <v>600.00000000000011</v>
      </c>
      <c r="AB12" s="8">
        <f t="shared" ref="AB12:AB18" si="19">(1.5/W12)</f>
        <v>2.7272727272727271</v>
      </c>
      <c r="AC12" s="8">
        <f t="shared" si="4"/>
        <v>5.9999999999999982</v>
      </c>
      <c r="AD12" s="8">
        <f t="shared" si="5"/>
        <v>5</v>
      </c>
      <c r="AE12" s="25"/>
      <c r="AF12" s="25"/>
      <c r="AG12" s="25"/>
      <c r="AH12" s="7" t="s">
        <v>16</v>
      </c>
      <c r="AI12" s="7">
        <v>2800</v>
      </c>
      <c r="AJ12" s="7">
        <v>0.6</v>
      </c>
      <c r="AK12" s="7">
        <v>0.36</v>
      </c>
      <c r="AL12" s="7">
        <v>0.65</v>
      </c>
      <c r="AM12" s="7">
        <f t="shared" ref="AM12:AM18" si="20">1.5/AL12</f>
        <v>2.3076923076923075</v>
      </c>
      <c r="AN12" s="7">
        <v>0.45</v>
      </c>
      <c r="AO12" s="8">
        <f t="shared" si="13"/>
        <v>0.58000000000000007</v>
      </c>
      <c r="AP12" s="9">
        <f t="shared" si="14"/>
        <v>1624.0000000000002</v>
      </c>
      <c r="AQ12" s="8">
        <f t="shared" si="15"/>
        <v>2.3076923076923075</v>
      </c>
      <c r="AR12" s="8" t="e">
        <f t="shared" si="16"/>
        <v>#DIV/0!</v>
      </c>
      <c r="AS12" s="8">
        <f t="shared" si="17"/>
        <v>4.166666666666667</v>
      </c>
    </row>
    <row r="13" spans="1:45" ht="15.75" customHeight="1" x14ac:dyDescent="0.25">
      <c r="A13" s="25"/>
      <c r="B13" s="25"/>
      <c r="C13" s="25"/>
      <c r="D13" s="7" t="s">
        <v>16</v>
      </c>
      <c r="E13" s="10">
        <v>1000</v>
      </c>
      <c r="F13" s="7">
        <v>0.8</v>
      </c>
      <c r="G13" s="7">
        <v>0.3</v>
      </c>
      <c r="H13" s="10">
        <f>700/1000</f>
        <v>0.7</v>
      </c>
      <c r="I13" s="10">
        <f t="shared" ref="I13:I19" si="21">1.5/H13</f>
        <v>2.1428571428571428</v>
      </c>
      <c r="J13" s="12">
        <v>0.45</v>
      </c>
      <c r="K13" s="8">
        <f t="shared" si="8"/>
        <v>0.79999999999999993</v>
      </c>
      <c r="L13" s="9">
        <f t="shared" si="9"/>
        <v>799.99999999999989</v>
      </c>
      <c r="M13" s="8">
        <f t="shared" si="10"/>
        <v>2.1428571428571428</v>
      </c>
      <c r="N13" s="8">
        <f t="shared" si="11"/>
        <v>3.7500000000000004</v>
      </c>
      <c r="O13" s="8">
        <f t="shared" si="12"/>
        <v>5</v>
      </c>
      <c r="P13" s="25"/>
      <c r="Q13" s="25"/>
      <c r="R13" s="25"/>
      <c r="S13" s="7" t="s">
        <v>19</v>
      </c>
      <c r="T13" s="7">
        <v>2500</v>
      </c>
      <c r="U13" s="7">
        <v>0.65</v>
      </c>
      <c r="V13" s="7">
        <v>0.35</v>
      </c>
      <c r="W13" s="7">
        <v>0.6</v>
      </c>
      <c r="X13" s="7">
        <f t="shared" si="18"/>
        <v>2.5</v>
      </c>
      <c r="Y13" s="7">
        <v>0.5</v>
      </c>
      <c r="Z13" s="8">
        <f t="shared" si="1"/>
        <v>0.5</v>
      </c>
      <c r="AA13" s="9">
        <f t="shared" si="2"/>
        <v>1250</v>
      </c>
      <c r="AB13" s="8">
        <f t="shared" si="19"/>
        <v>2.5</v>
      </c>
      <c r="AC13" s="8">
        <f t="shared" si="4"/>
        <v>6</v>
      </c>
      <c r="AD13" s="8">
        <f t="shared" si="5"/>
        <v>4.2857142857142856</v>
      </c>
      <c r="AE13" s="25"/>
      <c r="AF13" s="25"/>
      <c r="AG13" s="25"/>
      <c r="AH13" s="7" t="s">
        <v>19</v>
      </c>
      <c r="AI13" s="7">
        <v>3120</v>
      </c>
      <c r="AJ13" s="7">
        <v>0.6</v>
      </c>
      <c r="AK13" s="7">
        <v>0.36</v>
      </c>
      <c r="AL13" s="7">
        <v>0.7</v>
      </c>
      <c r="AM13" s="7">
        <f t="shared" si="20"/>
        <v>2.1428571428571428</v>
      </c>
      <c r="AN13" s="7">
        <v>0.5</v>
      </c>
      <c r="AO13" s="8">
        <f t="shared" si="13"/>
        <v>0.67999999999999994</v>
      </c>
      <c r="AP13" s="9">
        <f t="shared" si="14"/>
        <v>2121.6</v>
      </c>
      <c r="AQ13" s="8">
        <f t="shared" si="15"/>
        <v>2.1428571428571428</v>
      </c>
      <c r="AR13" s="8">
        <f t="shared" si="16"/>
        <v>5.1724137931034475</v>
      </c>
      <c r="AS13" s="8">
        <f t="shared" si="17"/>
        <v>4.166666666666667</v>
      </c>
    </row>
    <row r="14" spans="1:45" ht="15.75" customHeight="1" x14ac:dyDescent="0.25">
      <c r="A14" s="25"/>
      <c r="B14" s="25"/>
      <c r="C14" s="25"/>
      <c r="D14" s="7" t="s">
        <v>19</v>
      </c>
      <c r="E14" s="10">
        <v>1200</v>
      </c>
      <c r="F14" s="7">
        <v>0.83</v>
      </c>
      <c r="G14" s="7">
        <v>0.3</v>
      </c>
      <c r="H14" s="10">
        <v>0.7</v>
      </c>
      <c r="I14" s="10">
        <f t="shared" si="21"/>
        <v>2.1428571428571428</v>
      </c>
      <c r="J14" s="12">
        <v>0.45</v>
      </c>
      <c r="K14" s="8">
        <f t="shared" si="8"/>
        <v>0.79999999999999993</v>
      </c>
      <c r="L14" s="9">
        <f t="shared" si="9"/>
        <v>959.99999999999989</v>
      </c>
      <c r="M14" s="8">
        <f t="shared" si="10"/>
        <v>2.1428571428571428</v>
      </c>
      <c r="N14" s="8">
        <f t="shared" si="11"/>
        <v>3.7500000000000004</v>
      </c>
      <c r="O14" s="8">
        <f t="shared" si="12"/>
        <v>5</v>
      </c>
      <c r="P14" s="25"/>
      <c r="Q14" s="25"/>
      <c r="R14" s="25"/>
      <c r="S14" s="7" t="s">
        <v>22</v>
      </c>
      <c r="T14" s="7">
        <v>1400</v>
      </c>
      <c r="U14" s="7">
        <v>0.6</v>
      </c>
      <c r="V14" s="7">
        <v>0.3</v>
      </c>
      <c r="W14" s="7">
        <v>0.65</v>
      </c>
      <c r="X14" s="7">
        <f t="shared" si="18"/>
        <v>2.3076923076923075</v>
      </c>
      <c r="Y14" s="7">
        <v>0.5</v>
      </c>
      <c r="Z14" s="8">
        <f t="shared" si="1"/>
        <v>0.70000000000000007</v>
      </c>
      <c r="AA14" s="9">
        <f t="shared" si="2"/>
        <v>980.00000000000011</v>
      </c>
      <c r="AB14" s="8">
        <f t="shared" si="19"/>
        <v>2.3076923076923075</v>
      </c>
      <c r="AC14" s="8">
        <f t="shared" si="4"/>
        <v>4.2857142857142856</v>
      </c>
      <c r="AD14" s="8">
        <f t="shared" si="5"/>
        <v>5</v>
      </c>
      <c r="AE14" s="25"/>
      <c r="AF14" s="25"/>
      <c r="AG14" s="25"/>
      <c r="AH14" s="7" t="s">
        <v>22</v>
      </c>
      <c r="AI14" s="7">
        <v>4760</v>
      </c>
      <c r="AJ14" s="7">
        <v>0.7</v>
      </c>
      <c r="AK14" s="7">
        <v>0.36</v>
      </c>
      <c r="AL14" s="7">
        <v>0.75</v>
      </c>
      <c r="AM14" s="7">
        <f t="shared" si="20"/>
        <v>2</v>
      </c>
      <c r="AN14" s="7">
        <v>0.55000000000000004</v>
      </c>
      <c r="AO14" s="8">
        <f t="shared" si="13"/>
        <v>0.78</v>
      </c>
      <c r="AP14" s="9">
        <f t="shared" si="14"/>
        <v>3712.8</v>
      </c>
      <c r="AQ14" s="8">
        <f t="shared" si="15"/>
        <v>2</v>
      </c>
      <c r="AR14" s="8">
        <f t="shared" si="16"/>
        <v>4.4117647058823533</v>
      </c>
      <c r="AS14" s="8">
        <f t="shared" si="17"/>
        <v>4.166666666666667</v>
      </c>
    </row>
    <row r="15" spans="1:45" ht="15.75" customHeight="1" x14ac:dyDescent="0.25">
      <c r="A15" s="25"/>
      <c r="B15" s="25"/>
      <c r="C15" s="25"/>
      <c r="D15" s="7" t="s">
        <v>22</v>
      </c>
      <c r="E15" s="10">
        <v>2200</v>
      </c>
      <c r="F15" s="7">
        <v>0.9</v>
      </c>
      <c r="G15" s="7">
        <v>0.35</v>
      </c>
      <c r="H15" s="10">
        <v>0.6</v>
      </c>
      <c r="I15" s="10">
        <f t="shared" si="21"/>
        <v>2.5</v>
      </c>
      <c r="J15" s="12">
        <v>0.7</v>
      </c>
      <c r="K15" s="8">
        <f t="shared" si="8"/>
        <v>0.5</v>
      </c>
      <c r="L15" s="9">
        <f t="shared" si="9"/>
        <v>1100</v>
      </c>
      <c r="M15" s="8">
        <f t="shared" si="10"/>
        <v>2.5</v>
      </c>
      <c r="N15" s="8">
        <f t="shared" si="11"/>
        <v>6</v>
      </c>
      <c r="O15" s="8">
        <f t="shared" si="12"/>
        <v>4.2857142857142856</v>
      </c>
      <c r="P15" s="25"/>
      <c r="Q15" s="25"/>
      <c r="R15" s="25"/>
      <c r="S15" s="7" t="s">
        <v>23</v>
      </c>
      <c r="T15" s="7">
        <v>1600</v>
      </c>
      <c r="U15" s="7">
        <v>0.6</v>
      </c>
      <c r="V15" s="7">
        <v>0.35</v>
      </c>
      <c r="W15" s="7">
        <v>0.65</v>
      </c>
      <c r="X15" s="7">
        <f t="shared" si="18"/>
        <v>2.3076923076923075</v>
      </c>
      <c r="Y15" s="7">
        <v>0.5</v>
      </c>
      <c r="Z15" s="8">
        <f t="shared" si="1"/>
        <v>0.60000000000000009</v>
      </c>
      <c r="AA15" s="9">
        <f t="shared" si="2"/>
        <v>960.00000000000011</v>
      </c>
      <c r="AB15" s="8">
        <f t="shared" si="19"/>
        <v>2.3076923076923075</v>
      </c>
      <c r="AC15" s="8">
        <f t="shared" si="4"/>
        <v>4.9999999999999991</v>
      </c>
      <c r="AD15" s="8">
        <f t="shared" si="5"/>
        <v>4.2857142857142856</v>
      </c>
      <c r="AE15" s="25"/>
      <c r="AF15" s="25"/>
      <c r="AG15" s="25"/>
      <c r="AH15" s="7" t="s">
        <v>23</v>
      </c>
      <c r="AI15" s="7">
        <v>3200</v>
      </c>
      <c r="AJ15" s="7">
        <v>0.65</v>
      </c>
      <c r="AK15" s="7">
        <v>0.36</v>
      </c>
      <c r="AL15" s="7">
        <v>0.7</v>
      </c>
      <c r="AM15" s="7">
        <f t="shared" si="20"/>
        <v>2.1428571428571428</v>
      </c>
      <c r="AN15" s="7">
        <v>0.5</v>
      </c>
      <c r="AO15" s="8">
        <f t="shared" si="13"/>
        <v>0.67999999999999994</v>
      </c>
      <c r="AP15" s="9">
        <f t="shared" si="14"/>
        <v>2176</v>
      </c>
      <c r="AQ15" s="8">
        <f t="shared" si="15"/>
        <v>2.1428571428571428</v>
      </c>
      <c r="AR15" s="8">
        <f t="shared" si="16"/>
        <v>3.8461538461538458</v>
      </c>
      <c r="AS15" s="8">
        <f t="shared" si="17"/>
        <v>4.166666666666667</v>
      </c>
    </row>
    <row r="16" spans="1:45" ht="15.75" customHeight="1" x14ac:dyDescent="0.25">
      <c r="A16" s="25"/>
      <c r="B16" s="25"/>
      <c r="C16" s="25"/>
      <c r="D16" s="7" t="s">
        <v>23</v>
      </c>
      <c r="E16" s="10">
        <v>3250</v>
      </c>
      <c r="F16" s="7">
        <v>1</v>
      </c>
      <c r="G16" s="10">
        <v>0.4</v>
      </c>
      <c r="H16" s="10">
        <v>0.6</v>
      </c>
      <c r="I16" s="10">
        <f t="shared" si="21"/>
        <v>2.5</v>
      </c>
      <c r="J16" s="12">
        <v>0.7</v>
      </c>
      <c r="K16" s="8">
        <f t="shared" si="8"/>
        <v>0.39999999999999991</v>
      </c>
      <c r="L16" s="9">
        <f t="shared" si="9"/>
        <v>1299.9999999999998</v>
      </c>
      <c r="M16" s="8">
        <f t="shared" si="10"/>
        <v>2.5</v>
      </c>
      <c r="N16" s="8">
        <f t="shared" si="11"/>
        <v>7.5000000000000018</v>
      </c>
      <c r="O16" s="8">
        <f t="shared" si="12"/>
        <v>3.75</v>
      </c>
      <c r="P16" s="25"/>
      <c r="Q16" s="25"/>
      <c r="R16" s="25"/>
      <c r="S16" s="7" t="s">
        <v>24</v>
      </c>
      <c r="T16" s="7">
        <v>1400</v>
      </c>
      <c r="U16" s="7">
        <v>0.6</v>
      </c>
      <c r="V16" s="7">
        <v>0.3</v>
      </c>
      <c r="W16" s="7">
        <v>0.6</v>
      </c>
      <c r="X16" s="7">
        <f t="shared" si="18"/>
        <v>2.5</v>
      </c>
      <c r="Y16" s="7">
        <v>0.45</v>
      </c>
      <c r="Z16" s="8">
        <f t="shared" si="1"/>
        <v>0.6</v>
      </c>
      <c r="AA16" s="9">
        <f t="shared" si="2"/>
        <v>840</v>
      </c>
      <c r="AB16" s="8">
        <f t="shared" si="19"/>
        <v>2.5</v>
      </c>
      <c r="AC16" s="8">
        <f t="shared" si="4"/>
        <v>5</v>
      </c>
      <c r="AD16" s="8">
        <f t="shared" si="5"/>
        <v>5</v>
      </c>
      <c r="AE16" s="25"/>
      <c r="AF16" s="25"/>
      <c r="AG16" s="25"/>
      <c r="AH16" s="7" t="s">
        <v>24</v>
      </c>
      <c r="AI16" s="7">
        <v>1160</v>
      </c>
      <c r="AJ16" s="7">
        <v>0.6</v>
      </c>
      <c r="AK16" s="7">
        <v>0.32</v>
      </c>
      <c r="AL16" s="7">
        <v>0.6</v>
      </c>
      <c r="AM16" s="7">
        <f t="shared" si="20"/>
        <v>2.5</v>
      </c>
      <c r="AN16" s="7">
        <v>0.5</v>
      </c>
      <c r="AO16" s="8">
        <f t="shared" si="13"/>
        <v>0.55999999999999994</v>
      </c>
      <c r="AP16" s="9">
        <f t="shared" si="14"/>
        <v>649.59999999999991</v>
      </c>
      <c r="AQ16" s="8">
        <f t="shared" si="15"/>
        <v>2.5</v>
      </c>
      <c r="AR16" s="8">
        <f t="shared" si="16"/>
        <v>4.4117647058823533</v>
      </c>
      <c r="AS16" s="8">
        <f t="shared" si="17"/>
        <v>4.6875</v>
      </c>
    </row>
    <row r="17" spans="1:45" ht="15.75" customHeight="1" x14ac:dyDescent="0.25">
      <c r="A17" s="25"/>
      <c r="B17" s="25"/>
      <c r="C17" s="25"/>
      <c r="D17" s="7" t="s">
        <v>24</v>
      </c>
      <c r="E17" s="7">
        <v>3600</v>
      </c>
      <c r="F17" s="7">
        <v>0.8</v>
      </c>
      <c r="G17" s="7">
        <v>0.45</v>
      </c>
      <c r="H17" s="7">
        <f>600/1000</f>
        <v>0.6</v>
      </c>
      <c r="I17" s="10">
        <f t="shared" si="21"/>
        <v>2.5</v>
      </c>
      <c r="J17" s="12">
        <v>0.7</v>
      </c>
      <c r="K17" s="8">
        <f t="shared" si="8"/>
        <v>0.29999999999999993</v>
      </c>
      <c r="L17" s="9">
        <f t="shared" si="9"/>
        <v>1079.9999999999998</v>
      </c>
      <c r="M17" s="8">
        <f t="shared" si="10"/>
        <v>2.5</v>
      </c>
      <c r="N17" s="8">
        <f t="shared" si="11"/>
        <v>10.000000000000002</v>
      </c>
      <c r="O17" s="8">
        <f t="shared" si="12"/>
        <v>3.333333333333333</v>
      </c>
      <c r="P17" s="25"/>
      <c r="Q17" s="25"/>
      <c r="R17" s="25"/>
      <c r="S17" s="7" t="s">
        <v>25</v>
      </c>
      <c r="T17" s="7">
        <v>1000</v>
      </c>
      <c r="U17" s="7">
        <v>0.55000000000000004</v>
      </c>
      <c r="V17" s="7">
        <v>0.3</v>
      </c>
      <c r="W17" s="7">
        <v>0.5</v>
      </c>
      <c r="X17" s="7">
        <f t="shared" si="18"/>
        <v>3</v>
      </c>
      <c r="Y17" s="7">
        <v>0.4</v>
      </c>
      <c r="Z17" s="8">
        <f t="shared" si="1"/>
        <v>0.4</v>
      </c>
      <c r="AA17" s="9">
        <f t="shared" si="2"/>
        <v>400</v>
      </c>
      <c r="AB17" s="8">
        <f t="shared" si="19"/>
        <v>3</v>
      </c>
      <c r="AC17" s="8">
        <f t="shared" si="4"/>
        <v>7.5</v>
      </c>
      <c r="AD17" s="8">
        <f t="shared" si="5"/>
        <v>5</v>
      </c>
      <c r="AE17" s="25"/>
      <c r="AF17" s="25"/>
      <c r="AG17" s="25"/>
      <c r="AH17" s="7" t="s">
        <v>25</v>
      </c>
      <c r="AI17" s="7">
        <v>1320</v>
      </c>
      <c r="AJ17" s="7">
        <v>0.6</v>
      </c>
      <c r="AK17" s="7">
        <v>0.32</v>
      </c>
      <c r="AL17" s="7">
        <v>0.6</v>
      </c>
      <c r="AM17" s="7">
        <f t="shared" si="20"/>
        <v>2.5</v>
      </c>
      <c r="AN17" s="7">
        <v>0.5</v>
      </c>
      <c r="AO17" s="8">
        <f t="shared" si="13"/>
        <v>0.55999999999999994</v>
      </c>
      <c r="AP17" s="9">
        <f t="shared" si="14"/>
        <v>739.19999999999993</v>
      </c>
      <c r="AQ17" s="8">
        <f t="shared" si="15"/>
        <v>2.5</v>
      </c>
      <c r="AR17" s="8">
        <f t="shared" si="16"/>
        <v>5.3571428571428577</v>
      </c>
      <c r="AS17" s="8">
        <f t="shared" si="17"/>
        <v>4.6875</v>
      </c>
    </row>
    <row r="18" spans="1:45" ht="15.75" customHeight="1" x14ac:dyDescent="0.25">
      <c r="A18" s="25"/>
      <c r="B18" s="25"/>
      <c r="C18" s="25"/>
      <c r="D18" s="7" t="s">
        <v>25</v>
      </c>
      <c r="E18" s="7">
        <v>4500</v>
      </c>
      <c r="F18" s="7">
        <v>0.9</v>
      </c>
      <c r="G18" s="10">
        <v>0.45</v>
      </c>
      <c r="H18" s="7">
        <v>0.85</v>
      </c>
      <c r="I18" s="10">
        <f t="shared" si="21"/>
        <v>1.7647058823529411</v>
      </c>
      <c r="J18" s="7">
        <v>0.65</v>
      </c>
      <c r="K18" s="8">
        <f t="shared" si="8"/>
        <v>0.79999999999999993</v>
      </c>
      <c r="L18" s="9">
        <f t="shared" si="9"/>
        <v>3599.9999999999995</v>
      </c>
      <c r="M18" s="8">
        <f t="shared" si="10"/>
        <v>1.7647058823529411</v>
      </c>
      <c r="N18" s="8">
        <f t="shared" si="11"/>
        <v>3.7500000000000004</v>
      </c>
      <c r="O18" s="8">
        <f t="shared" si="12"/>
        <v>3.333333333333333</v>
      </c>
      <c r="P18" s="26"/>
      <c r="Q18" s="26"/>
      <c r="R18" s="26"/>
      <c r="S18" s="7" t="s">
        <v>26</v>
      </c>
      <c r="T18" s="7">
        <v>1000</v>
      </c>
      <c r="U18" s="7">
        <v>0.55000000000000004</v>
      </c>
      <c r="V18" s="7">
        <v>0.3</v>
      </c>
      <c r="W18" s="7">
        <v>0.5</v>
      </c>
      <c r="X18" s="7">
        <f t="shared" si="18"/>
        <v>3</v>
      </c>
      <c r="Y18" s="7">
        <v>0.4</v>
      </c>
      <c r="Z18" s="8">
        <f t="shared" si="1"/>
        <v>0.4</v>
      </c>
      <c r="AA18" s="9">
        <f t="shared" si="2"/>
        <v>400</v>
      </c>
      <c r="AB18" s="8">
        <f t="shared" si="19"/>
        <v>3</v>
      </c>
      <c r="AC18" s="8">
        <f t="shared" si="4"/>
        <v>7.5</v>
      </c>
      <c r="AD18" s="8">
        <f t="shared" si="5"/>
        <v>5</v>
      </c>
      <c r="AE18" s="25"/>
      <c r="AF18" s="25"/>
      <c r="AG18" s="25"/>
      <c r="AH18" s="7" t="s">
        <v>26</v>
      </c>
      <c r="AI18" s="7">
        <v>1200</v>
      </c>
      <c r="AJ18" s="7">
        <v>0.6</v>
      </c>
      <c r="AK18" s="7">
        <v>0.32</v>
      </c>
      <c r="AL18" s="7">
        <v>0.6</v>
      </c>
      <c r="AM18" s="7">
        <f t="shared" si="20"/>
        <v>2.5</v>
      </c>
      <c r="AN18" s="7">
        <v>0.5</v>
      </c>
      <c r="AO18" s="8">
        <f t="shared" si="13"/>
        <v>0.55999999999999994</v>
      </c>
      <c r="AP18" s="9">
        <f t="shared" si="14"/>
        <v>671.99999999999989</v>
      </c>
      <c r="AQ18" s="8">
        <f t="shared" si="15"/>
        <v>2.5</v>
      </c>
      <c r="AR18" s="8">
        <f t="shared" si="16"/>
        <v>5.3571428571428577</v>
      </c>
      <c r="AS18" s="8">
        <f t="shared" si="17"/>
        <v>4.6875</v>
      </c>
    </row>
    <row r="19" spans="1:45" ht="15.75" customHeight="1" x14ac:dyDescent="0.25">
      <c r="A19" s="26"/>
      <c r="B19" s="26"/>
      <c r="C19" s="26"/>
      <c r="D19" s="7" t="s">
        <v>26</v>
      </c>
      <c r="E19" s="7">
        <v>5200</v>
      </c>
      <c r="F19" s="13">
        <v>1</v>
      </c>
      <c r="G19" s="7">
        <v>0.45</v>
      </c>
      <c r="H19" s="7">
        <v>0.9</v>
      </c>
      <c r="I19" s="10">
        <f t="shared" si="21"/>
        <v>1.6666666666666665</v>
      </c>
      <c r="J19" s="7">
        <v>0.65</v>
      </c>
      <c r="K19" s="8">
        <f t="shared" si="8"/>
        <v>0.9</v>
      </c>
      <c r="L19" s="9">
        <f t="shared" si="9"/>
        <v>4680</v>
      </c>
      <c r="M19" s="8">
        <f t="shared" si="10"/>
        <v>1.6666666666666665</v>
      </c>
      <c r="N19" s="8">
        <f t="shared" si="11"/>
        <v>3.333333333333333</v>
      </c>
      <c r="O19" s="8">
        <f t="shared" si="12"/>
        <v>3.333333333333333</v>
      </c>
      <c r="P19" s="27" t="s">
        <v>28</v>
      </c>
      <c r="Q19" s="27">
        <v>260</v>
      </c>
      <c r="R19" s="27" t="s">
        <v>18</v>
      </c>
      <c r="S19" s="32" t="s">
        <v>15</v>
      </c>
      <c r="T19" s="33"/>
      <c r="U19" s="33"/>
      <c r="V19" s="33"/>
      <c r="W19" s="33"/>
      <c r="X19" s="33"/>
      <c r="Y19" s="34"/>
      <c r="Z19" s="8">
        <f t="shared" si="1"/>
        <v>0</v>
      </c>
      <c r="AA19" s="9">
        <f t="shared" si="2"/>
        <v>0</v>
      </c>
      <c r="AC19" s="8" t="e">
        <f t="shared" si="4"/>
        <v>#DIV/0!</v>
      </c>
      <c r="AD19" s="8" t="e">
        <f t="shared" si="5"/>
        <v>#DIV/0!</v>
      </c>
      <c r="AE19" s="26"/>
      <c r="AF19" s="26"/>
      <c r="AG19" s="26"/>
      <c r="AH19" s="32" t="s">
        <v>15</v>
      </c>
      <c r="AI19" s="33"/>
      <c r="AJ19" s="33"/>
      <c r="AK19" s="33"/>
      <c r="AL19" s="33"/>
      <c r="AM19" s="33"/>
      <c r="AN19" s="34"/>
      <c r="AO19" s="8">
        <f t="shared" si="13"/>
        <v>0</v>
      </c>
      <c r="AP19" s="9">
        <f t="shared" si="14"/>
        <v>0</v>
      </c>
      <c r="AQ19" s="8" t="e">
        <f t="shared" si="15"/>
        <v>#DIV/0!</v>
      </c>
      <c r="AR19" s="8">
        <f t="shared" si="16"/>
        <v>5.3571428571428577</v>
      </c>
      <c r="AS19" s="8" t="e">
        <f t="shared" si="17"/>
        <v>#DIV/0!</v>
      </c>
    </row>
    <row r="20" spans="1:45" ht="15.75" customHeight="1" x14ac:dyDescent="0.25">
      <c r="A20" s="24">
        <v>44655</v>
      </c>
      <c r="B20" s="27">
        <v>253</v>
      </c>
      <c r="C20" s="27" t="s">
        <v>17</v>
      </c>
      <c r="D20" s="32" t="s">
        <v>15</v>
      </c>
      <c r="E20" s="33"/>
      <c r="F20" s="33"/>
      <c r="G20" s="33"/>
      <c r="H20" s="33"/>
      <c r="I20" s="33"/>
      <c r="J20" s="34"/>
      <c r="K20" s="8">
        <f t="shared" si="8"/>
        <v>0</v>
      </c>
      <c r="L20" s="9">
        <f t="shared" si="9"/>
        <v>0</v>
      </c>
      <c r="M20" s="8" t="e">
        <f t="shared" si="10"/>
        <v>#DIV/0!</v>
      </c>
      <c r="N20" s="8" t="e">
        <f t="shared" si="11"/>
        <v>#DIV/0!</v>
      </c>
      <c r="O20" s="8" t="e">
        <f t="shared" si="12"/>
        <v>#DIV/0!</v>
      </c>
      <c r="P20" s="25"/>
      <c r="Q20" s="25"/>
      <c r="R20" s="25"/>
      <c r="S20" s="14" t="s">
        <v>3</v>
      </c>
      <c r="T20" s="14" t="s">
        <v>4</v>
      </c>
      <c r="U20" s="14" t="s">
        <v>5</v>
      </c>
      <c r="V20" s="14" t="s">
        <v>6</v>
      </c>
      <c r="W20" s="14" t="s">
        <v>7</v>
      </c>
      <c r="X20" s="14" t="s">
        <v>8</v>
      </c>
      <c r="Y20" s="14" t="s">
        <v>10</v>
      </c>
      <c r="AA20" s="9"/>
      <c r="AC20" s="8" t="e">
        <f t="shared" si="4"/>
        <v>#VALUE!</v>
      </c>
      <c r="AD20" s="8" t="e">
        <f t="shared" si="5"/>
        <v>#VALUE!</v>
      </c>
      <c r="AE20" s="27" t="s">
        <v>20</v>
      </c>
      <c r="AF20" s="27">
        <v>264</v>
      </c>
      <c r="AG20" s="27" t="s">
        <v>21</v>
      </c>
      <c r="AH20" s="14" t="s">
        <v>3</v>
      </c>
      <c r="AI20" s="14" t="s">
        <v>4</v>
      </c>
      <c r="AJ20" s="14" t="s">
        <v>5</v>
      </c>
      <c r="AK20" s="14" t="s">
        <v>6</v>
      </c>
      <c r="AL20" s="14" t="s">
        <v>7</v>
      </c>
      <c r="AM20" s="14" t="s">
        <v>8</v>
      </c>
      <c r="AN20" s="14" t="s">
        <v>10</v>
      </c>
      <c r="AO20" s="8" t="e">
        <f t="shared" si="13"/>
        <v>#VALUE!</v>
      </c>
      <c r="AP20" s="9" t="e">
        <f t="shared" si="14"/>
        <v>#VALUE!</v>
      </c>
      <c r="AQ20" s="8" t="e">
        <f t="shared" si="15"/>
        <v>#VALUE!</v>
      </c>
      <c r="AR20" s="8" t="e">
        <f t="shared" si="16"/>
        <v>#DIV/0!</v>
      </c>
      <c r="AS20" s="8" t="e">
        <f t="shared" si="17"/>
        <v>#VALUE!</v>
      </c>
    </row>
    <row r="21" spans="1:45" ht="15.75" customHeight="1" x14ac:dyDescent="0.25">
      <c r="A21" s="25"/>
      <c r="B21" s="25"/>
      <c r="C21" s="25"/>
      <c r="D21" s="14" t="s">
        <v>3</v>
      </c>
      <c r="E21" s="14" t="s">
        <v>4</v>
      </c>
      <c r="F21" s="14" t="s">
        <v>5</v>
      </c>
      <c r="G21" s="14" t="s">
        <v>6</v>
      </c>
      <c r="H21" s="14" t="s">
        <v>7</v>
      </c>
      <c r="I21" s="14" t="s">
        <v>8</v>
      </c>
      <c r="J21" s="14" t="s">
        <v>10</v>
      </c>
      <c r="K21" s="8" t="e">
        <f t="shared" si="8"/>
        <v>#VALUE!</v>
      </c>
      <c r="L21" s="9" t="e">
        <f t="shared" si="9"/>
        <v>#VALUE!</v>
      </c>
      <c r="M21" s="8" t="e">
        <f t="shared" si="10"/>
        <v>#VALUE!</v>
      </c>
      <c r="N21" s="8" t="e">
        <f t="shared" si="11"/>
        <v>#VALUE!</v>
      </c>
      <c r="O21" s="8" t="e">
        <f t="shared" si="12"/>
        <v>#VALUE!</v>
      </c>
      <c r="P21" s="25"/>
      <c r="Q21" s="25"/>
      <c r="R21" s="25"/>
      <c r="S21" s="7" t="s">
        <v>16</v>
      </c>
      <c r="T21" s="7">
        <v>1200</v>
      </c>
      <c r="U21" s="7">
        <v>0.6</v>
      </c>
      <c r="V21" s="7">
        <v>0.3</v>
      </c>
      <c r="W21" s="7">
        <v>0.6</v>
      </c>
      <c r="X21" s="7">
        <f t="shared" ref="X21:X27" si="22">1.5/W21</f>
        <v>2.5</v>
      </c>
      <c r="Y21" s="7">
        <v>0.5</v>
      </c>
      <c r="Z21" s="8">
        <f t="shared" ref="Z21:Z36" si="23">(W21-V21)*2</f>
        <v>0.6</v>
      </c>
      <c r="AA21" s="9">
        <f t="shared" ref="AA21:AA36" si="24">((W21-V21)*T21)*2</f>
        <v>720</v>
      </c>
      <c r="AB21" s="8">
        <f t="shared" ref="AB21:AB27" si="25">(1.5/W21)</f>
        <v>2.5</v>
      </c>
      <c r="AC21" s="8">
        <f t="shared" si="4"/>
        <v>5</v>
      </c>
      <c r="AD21" s="8">
        <f t="shared" si="5"/>
        <v>5</v>
      </c>
      <c r="AE21" s="25"/>
      <c r="AF21" s="25"/>
      <c r="AG21" s="25"/>
      <c r="AH21" s="7" t="s">
        <v>16</v>
      </c>
      <c r="AI21" s="7">
        <v>6000</v>
      </c>
      <c r="AJ21" s="7">
        <v>0.75</v>
      </c>
      <c r="AK21" s="7">
        <v>0.45</v>
      </c>
      <c r="AL21" s="7">
        <v>0.75</v>
      </c>
      <c r="AM21" s="7">
        <f t="shared" ref="AM21:AM27" si="26">1.5/AL21</f>
        <v>2</v>
      </c>
      <c r="AN21" s="7">
        <v>0.6</v>
      </c>
      <c r="AO21" s="8">
        <f t="shared" si="13"/>
        <v>0.6</v>
      </c>
      <c r="AP21" s="9">
        <f t="shared" si="14"/>
        <v>3600</v>
      </c>
      <c r="AQ21" s="8">
        <f t="shared" si="15"/>
        <v>2</v>
      </c>
      <c r="AR21" s="8" t="e">
        <f t="shared" si="16"/>
        <v>#VALUE!</v>
      </c>
      <c r="AS21" s="8">
        <f t="shared" si="17"/>
        <v>3.333333333333333</v>
      </c>
    </row>
    <row r="22" spans="1:45" ht="15.75" customHeight="1" x14ac:dyDescent="0.25">
      <c r="A22" s="25"/>
      <c r="B22" s="25"/>
      <c r="C22" s="25"/>
      <c r="D22" s="7" t="s">
        <v>16</v>
      </c>
      <c r="E22" s="7">
        <v>2000</v>
      </c>
      <c r="F22" s="7">
        <f t="shared" ref="F22:F23" si="27">700*0.001/1</f>
        <v>0.70000000000000007</v>
      </c>
      <c r="G22" s="7">
        <v>0.35</v>
      </c>
      <c r="H22" s="7">
        <v>0.6</v>
      </c>
      <c r="I22" s="7">
        <f t="shared" ref="I22:I28" si="28">1.5/H22</f>
        <v>2.5</v>
      </c>
      <c r="J22" s="7">
        <v>0.65</v>
      </c>
      <c r="K22" s="8">
        <f t="shared" si="8"/>
        <v>0.5</v>
      </c>
      <c r="L22" s="9">
        <f t="shared" si="9"/>
        <v>1000</v>
      </c>
      <c r="M22" s="8">
        <f t="shared" si="10"/>
        <v>2.5</v>
      </c>
      <c r="N22" s="8">
        <f t="shared" si="11"/>
        <v>6</v>
      </c>
      <c r="O22" s="8">
        <f t="shared" si="12"/>
        <v>4.2857142857142856</v>
      </c>
      <c r="P22" s="25"/>
      <c r="Q22" s="25"/>
      <c r="R22" s="25"/>
      <c r="S22" s="7" t="s">
        <v>19</v>
      </c>
      <c r="T22" s="7">
        <v>1100</v>
      </c>
      <c r="U22" s="7">
        <v>0.6</v>
      </c>
      <c r="V22" s="7">
        <v>0.3</v>
      </c>
      <c r="W22" s="7">
        <v>0.6</v>
      </c>
      <c r="X22" s="7">
        <f t="shared" si="22"/>
        <v>2.5</v>
      </c>
      <c r="Y22" s="7">
        <v>0.65</v>
      </c>
      <c r="Z22" s="8">
        <f t="shared" si="23"/>
        <v>0.6</v>
      </c>
      <c r="AA22" s="9">
        <f t="shared" si="24"/>
        <v>660</v>
      </c>
      <c r="AB22" s="8">
        <f t="shared" si="25"/>
        <v>2.5</v>
      </c>
      <c r="AC22" s="8">
        <f t="shared" si="4"/>
        <v>5</v>
      </c>
      <c r="AD22" s="8">
        <f t="shared" si="5"/>
        <v>5</v>
      </c>
      <c r="AE22" s="25"/>
      <c r="AF22" s="25"/>
      <c r="AG22" s="25"/>
      <c r="AH22" s="7" t="s">
        <v>19</v>
      </c>
      <c r="AI22" s="7">
        <v>5500</v>
      </c>
      <c r="AJ22" s="7">
        <v>0.6</v>
      </c>
      <c r="AK22" s="7">
        <v>0.35</v>
      </c>
      <c r="AL22" s="7">
        <v>0.6</v>
      </c>
      <c r="AM22" s="7">
        <f t="shared" si="26"/>
        <v>2.5</v>
      </c>
      <c r="AN22" s="7">
        <v>0.55000000000000004</v>
      </c>
      <c r="AO22" s="8">
        <f t="shared" si="13"/>
        <v>0.5</v>
      </c>
      <c r="AP22" s="9">
        <f t="shared" si="14"/>
        <v>2750</v>
      </c>
      <c r="AQ22" s="8">
        <f t="shared" si="15"/>
        <v>2.5</v>
      </c>
      <c r="AR22" s="8">
        <f t="shared" si="16"/>
        <v>5</v>
      </c>
      <c r="AS22" s="8">
        <f t="shared" si="17"/>
        <v>4.2857142857142856</v>
      </c>
    </row>
    <row r="23" spans="1:45" ht="15.75" customHeight="1" x14ac:dyDescent="0.25">
      <c r="A23" s="25"/>
      <c r="B23" s="25"/>
      <c r="C23" s="25"/>
      <c r="D23" s="7" t="s">
        <v>19</v>
      </c>
      <c r="E23" s="7">
        <v>2000</v>
      </c>
      <c r="F23" s="7">
        <f t="shared" si="27"/>
        <v>0.70000000000000007</v>
      </c>
      <c r="G23" s="7">
        <v>0.35</v>
      </c>
      <c r="H23" s="7">
        <v>0.6</v>
      </c>
      <c r="I23" s="7">
        <f t="shared" si="28"/>
        <v>2.5</v>
      </c>
      <c r="J23" s="7">
        <v>0.65</v>
      </c>
      <c r="K23" s="8">
        <f t="shared" si="8"/>
        <v>0.5</v>
      </c>
      <c r="L23" s="9">
        <f t="shared" si="9"/>
        <v>1000</v>
      </c>
      <c r="M23" s="8">
        <f t="shared" si="10"/>
        <v>2.5</v>
      </c>
      <c r="N23" s="8">
        <f t="shared" si="11"/>
        <v>6</v>
      </c>
      <c r="O23" s="8">
        <f t="shared" si="12"/>
        <v>4.2857142857142856</v>
      </c>
      <c r="P23" s="25"/>
      <c r="Q23" s="25"/>
      <c r="R23" s="25"/>
      <c r="S23" s="7" t="s">
        <v>22</v>
      </c>
      <c r="T23" s="7">
        <v>2040</v>
      </c>
      <c r="U23" s="7">
        <v>0.65</v>
      </c>
      <c r="V23" s="7">
        <v>0.35</v>
      </c>
      <c r="W23" s="7">
        <f>760/1000</f>
        <v>0.76</v>
      </c>
      <c r="X23" s="7">
        <f t="shared" si="22"/>
        <v>1.9736842105263157</v>
      </c>
      <c r="Y23" s="7">
        <v>0.65</v>
      </c>
      <c r="Z23" s="8">
        <f t="shared" si="23"/>
        <v>0.82000000000000006</v>
      </c>
      <c r="AA23" s="9">
        <f t="shared" si="24"/>
        <v>1672.8000000000002</v>
      </c>
      <c r="AB23" s="8">
        <f t="shared" si="25"/>
        <v>1.9736842105263157</v>
      </c>
      <c r="AC23" s="8">
        <f t="shared" si="4"/>
        <v>3.6585365853658534</v>
      </c>
      <c r="AD23" s="8">
        <f t="shared" si="5"/>
        <v>4.2857142857142856</v>
      </c>
      <c r="AE23" s="25"/>
      <c r="AF23" s="25"/>
      <c r="AG23" s="25"/>
      <c r="AH23" s="7" t="s">
        <v>22</v>
      </c>
      <c r="AI23" s="7">
        <v>6000</v>
      </c>
      <c r="AJ23" s="7">
        <v>0.8</v>
      </c>
      <c r="AK23" s="7">
        <v>0.37</v>
      </c>
      <c r="AL23" s="7">
        <v>0.65</v>
      </c>
      <c r="AM23" s="7">
        <f t="shared" si="26"/>
        <v>2.3076923076923075</v>
      </c>
      <c r="AN23" s="7">
        <v>0.6</v>
      </c>
      <c r="AO23" s="8">
        <f t="shared" si="13"/>
        <v>0.56000000000000005</v>
      </c>
      <c r="AP23" s="9">
        <f t="shared" si="14"/>
        <v>3360.0000000000005</v>
      </c>
      <c r="AQ23" s="8">
        <f t="shared" si="15"/>
        <v>2.3076923076923075</v>
      </c>
      <c r="AR23" s="8">
        <f t="shared" si="16"/>
        <v>6</v>
      </c>
      <c r="AS23" s="8">
        <f t="shared" si="17"/>
        <v>4.0540540540540544</v>
      </c>
    </row>
    <row r="24" spans="1:45" ht="15.75" customHeight="1" x14ac:dyDescent="0.25">
      <c r="A24" s="25"/>
      <c r="B24" s="25"/>
      <c r="C24" s="25"/>
      <c r="D24" s="7" t="s">
        <v>22</v>
      </c>
      <c r="E24" s="7">
        <v>2300</v>
      </c>
      <c r="F24" s="7">
        <v>0.8</v>
      </c>
      <c r="G24" s="10">
        <v>0.4</v>
      </c>
      <c r="H24" s="7">
        <v>0.65</v>
      </c>
      <c r="I24" s="7">
        <f t="shared" si="28"/>
        <v>2.3076923076923075</v>
      </c>
      <c r="J24" s="7">
        <v>0.75</v>
      </c>
      <c r="K24" s="8">
        <f t="shared" si="8"/>
        <v>0.5</v>
      </c>
      <c r="L24" s="9">
        <f t="shared" si="9"/>
        <v>1150</v>
      </c>
      <c r="M24" s="8">
        <f t="shared" si="10"/>
        <v>2.3076923076923075</v>
      </c>
      <c r="N24" s="8">
        <f t="shared" si="11"/>
        <v>6</v>
      </c>
      <c r="O24" s="8">
        <f t="shared" si="12"/>
        <v>3.75</v>
      </c>
      <c r="P24" s="25"/>
      <c r="Q24" s="25"/>
      <c r="R24" s="25"/>
      <c r="S24" s="7" t="s">
        <v>23</v>
      </c>
      <c r="T24" s="7">
        <v>2400</v>
      </c>
      <c r="U24" s="7">
        <v>0.65</v>
      </c>
      <c r="V24" s="7">
        <v>0.4</v>
      </c>
      <c r="W24" s="7">
        <v>0.76</v>
      </c>
      <c r="X24" s="7">
        <f t="shared" si="22"/>
        <v>1.9736842105263157</v>
      </c>
      <c r="Y24" s="7">
        <v>0.65</v>
      </c>
      <c r="Z24" s="8">
        <f t="shared" si="23"/>
        <v>0.72</v>
      </c>
      <c r="AA24" s="9">
        <f t="shared" si="24"/>
        <v>1728</v>
      </c>
      <c r="AB24" s="8">
        <f t="shared" si="25"/>
        <v>1.9736842105263157</v>
      </c>
      <c r="AC24" s="8">
        <f t="shared" si="4"/>
        <v>4.166666666666667</v>
      </c>
      <c r="AD24" s="8">
        <f t="shared" si="5"/>
        <v>3.75</v>
      </c>
      <c r="AE24" s="25"/>
      <c r="AF24" s="25"/>
      <c r="AG24" s="25"/>
      <c r="AH24" s="7" t="s">
        <v>23</v>
      </c>
      <c r="AI24" s="7">
        <v>6000</v>
      </c>
      <c r="AJ24" s="7">
        <v>0.8</v>
      </c>
      <c r="AK24" s="7">
        <v>0.37</v>
      </c>
      <c r="AL24" s="7">
        <v>0.65</v>
      </c>
      <c r="AM24" s="7">
        <f t="shared" si="26"/>
        <v>2.3076923076923075</v>
      </c>
      <c r="AN24" s="7">
        <v>0.6</v>
      </c>
      <c r="AO24" s="8">
        <f t="shared" si="13"/>
        <v>0.56000000000000005</v>
      </c>
      <c r="AP24" s="9">
        <f t="shared" si="14"/>
        <v>3360.0000000000005</v>
      </c>
      <c r="AQ24" s="8">
        <f t="shared" si="15"/>
        <v>2.3076923076923075</v>
      </c>
      <c r="AR24" s="8">
        <f t="shared" si="16"/>
        <v>5.3571428571428568</v>
      </c>
      <c r="AS24" s="8">
        <f t="shared" si="17"/>
        <v>4.0540540540540544</v>
      </c>
    </row>
    <row r="25" spans="1:45" ht="15.75" customHeight="1" x14ac:dyDescent="0.25">
      <c r="A25" s="25"/>
      <c r="B25" s="25"/>
      <c r="C25" s="25"/>
      <c r="D25" s="7" t="s">
        <v>23</v>
      </c>
      <c r="E25" s="7">
        <v>2500</v>
      </c>
      <c r="F25" s="7">
        <v>0.6</v>
      </c>
      <c r="G25" s="7">
        <v>0.3</v>
      </c>
      <c r="H25" s="7">
        <v>0.65</v>
      </c>
      <c r="I25" s="7">
        <f t="shared" si="28"/>
        <v>2.3076923076923075</v>
      </c>
      <c r="J25" s="12">
        <v>0.6</v>
      </c>
      <c r="K25" s="8">
        <f t="shared" si="8"/>
        <v>0.70000000000000007</v>
      </c>
      <c r="L25" s="9">
        <f t="shared" si="9"/>
        <v>1750.0000000000002</v>
      </c>
      <c r="M25" s="8">
        <f t="shared" si="10"/>
        <v>2.3076923076923075</v>
      </c>
      <c r="N25" s="8">
        <f t="shared" si="11"/>
        <v>4.2857142857142856</v>
      </c>
      <c r="O25" s="8">
        <f t="shared" si="12"/>
        <v>5</v>
      </c>
      <c r="P25" s="25"/>
      <c r="Q25" s="25"/>
      <c r="R25" s="25"/>
      <c r="S25" s="7" t="s">
        <v>24</v>
      </c>
      <c r="T25" s="7">
        <v>1640</v>
      </c>
      <c r="U25" s="7">
        <v>0.6</v>
      </c>
      <c r="V25" s="7">
        <v>0.3</v>
      </c>
      <c r="W25" s="7">
        <f>600/1000</f>
        <v>0.6</v>
      </c>
      <c r="X25" s="7">
        <f t="shared" si="22"/>
        <v>2.5</v>
      </c>
      <c r="Y25" s="7">
        <v>0.6</v>
      </c>
      <c r="Z25" s="8">
        <f t="shared" si="23"/>
        <v>0.6</v>
      </c>
      <c r="AA25" s="9">
        <f t="shared" si="24"/>
        <v>984</v>
      </c>
      <c r="AB25" s="8">
        <f t="shared" si="25"/>
        <v>2.5</v>
      </c>
      <c r="AC25" s="8">
        <f t="shared" si="4"/>
        <v>5</v>
      </c>
      <c r="AD25" s="8">
        <f t="shared" si="5"/>
        <v>5</v>
      </c>
      <c r="AE25" s="25"/>
      <c r="AF25" s="25"/>
      <c r="AG25" s="25"/>
      <c r="AH25" s="7" t="s">
        <v>24</v>
      </c>
      <c r="AI25" s="7">
        <v>5500</v>
      </c>
      <c r="AJ25" s="7">
        <v>0.65</v>
      </c>
      <c r="AK25" s="7">
        <v>0.35</v>
      </c>
      <c r="AL25" s="7">
        <v>0.6</v>
      </c>
      <c r="AM25" s="7">
        <f t="shared" si="26"/>
        <v>2.5</v>
      </c>
      <c r="AN25" s="7">
        <v>0.55000000000000004</v>
      </c>
      <c r="AO25" s="8">
        <f t="shared" si="13"/>
        <v>0.5</v>
      </c>
      <c r="AP25" s="9">
        <f t="shared" si="14"/>
        <v>2750</v>
      </c>
      <c r="AQ25" s="8">
        <f t="shared" si="15"/>
        <v>2.5</v>
      </c>
      <c r="AR25" s="8">
        <f t="shared" si="16"/>
        <v>5.3571428571428568</v>
      </c>
      <c r="AS25" s="8">
        <f t="shared" si="17"/>
        <v>4.2857142857142856</v>
      </c>
    </row>
    <row r="26" spans="1:45" ht="15.75" customHeight="1" x14ac:dyDescent="0.25">
      <c r="A26" s="25"/>
      <c r="B26" s="25"/>
      <c r="C26" s="25"/>
      <c r="D26" s="7" t="s">
        <v>24</v>
      </c>
      <c r="E26" s="7">
        <v>2600</v>
      </c>
      <c r="F26" s="7">
        <f>600*0.001/1</f>
        <v>0.6</v>
      </c>
      <c r="G26" s="7">
        <v>0.3</v>
      </c>
      <c r="H26" s="7">
        <v>0.65</v>
      </c>
      <c r="I26" s="7">
        <f t="shared" si="28"/>
        <v>2.3076923076923075</v>
      </c>
      <c r="J26" s="12">
        <v>0.6</v>
      </c>
      <c r="K26" s="8">
        <f t="shared" si="8"/>
        <v>0.70000000000000007</v>
      </c>
      <c r="L26" s="9">
        <f t="shared" si="9"/>
        <v>1820.0000000000002</v>
      </c>
      <c r="M26" s="8">
        <f t="shared" si="10"/>
        <v>2.3076923076923075</v>
      </c>
      <c r="N26" s="8">
        <f t="shared" si="11"/>
        <v>4.2857142857142856</v>
      </c>
      <c r="O26" s="8">
        <f t="shared" si="12"/>
        <v>5</v>
      </c>
      <c r="P26" s="25"/>
      <c r="Q26" s="25"/>
      <c r="R26" s="25"/>
      <c r="S26" s="7" t="s">
        <v>25</v>
      </c>
      <c r="T26" s="7">
        <v>2440</v>
      </c>
      <c r="U26" s="7">
        <v>0.64</v>
      </c>
      <c r="V26" s="7">
        <v>0.4</v>
      </c>
      <c r="W26" s="7">
        <f>680/1000</f>
        <v>0.68</v>
      </c>
      <c r="X26" s="7">
        <f t="shared" si="22"/>
        <v>2.2058823529411762</v>
      </c>
      <c r="Y26" s="7">
        <v>0.6</v>
      </c>
      <c r="Z26" s="8">
        <f t="shared" si="23"/>
        <v>0.56000000000000005</v>
      </c>
      <c r="AA26" s="9">
        <f t="shared" si="24"/>
        <v>1366.4</v>
      </c>
      <c r="AB26" s="8">
        <f t="shared" si="25"/>
        <v>2.2058823529411762</v>
      </c>
      <c r="AC26" s="8">
        <f t="shared" si="4"/>
        <v>5.3571428571428568</v>
      </c>
      <c r="AD26" s="8">
        <f t="shared" si="5"/>
        <v>3.75</v>
      </c>
      <c r="AE26" s="25"/>
      <c r="AF26" s="25"/>
      <c r="AG26" s="25"/>
      <c r="AH26" s="7" t="s">
        <v>25</v>
      </c>
      <c r="AI26" s="7">
        <v>6000</v>
      </c>
      <c r="AJ26" s="7">
        <v>0.65</v>
      </c>
      <c r="AK26" s="7">
        <v>0.45</v>
      </c>
      <c r="AL26" s="7">
        <v>0.75</v>
      </c>
      <c r="AM26" s="7">
        <f t="shared" si="26"/>
        <v>2</v>
      </c>
      <c r="AN26" s="7">
        <v>0.6</v>
      </c>
      <c r="AO26" s="8">
        <f t="shared" si="13"/>
        <v>0.6</v>
      </c>
      <c r="AP26" s="9">
        <f t="shared" si="14"/>
        <v>3600</v>
      </c>
      <c r="AQ26" s="8">
        <f t="shared" si="15"/>
        <v>2</v>
      </c>
      <c r="AR26" s="8">
        <f t="shared" si="16"/>
        <v>6</v>
      </c>
      <c r="AS26" s="8">
        <f t="shared" si="17"/>
        <v>3.333333333333333</v>
      </c>
    </row>
    <row r="27" spans="1:45" ht="15.75" customHeight="1" x14ac:dyDescent="0.25">
      <c r="A27" s="25"/>
      <c r="B27" s="25"/>
      <c r="C27" s="25"/>
      <c r="D27" s="7" t="s">
        <v>25</v>
      </c>
      <c r="E27" s="7">
        <v>2600</v>
      </c>
      <c r="F27" s="7">
        <v>0.6</v>
      </c>
      <c r="G27" s="7">
        <v>0.3</v>
      </c>
      <c r="H27" s="7">
        <v>0.73</v>
      </c>
      <c r="I27" s="7">
        <f t="shared" si="28"/>
        <v>2.0547945205479454</v>
      </c>
      <c r="J27" s="12">
        <v>0.6</v>
      </c>
      <c r="K27" s="8">
        <f t="shared" si="8"/>
        <v>0.86</v>
      </c>
      <c r="L27" s="9">
        <f t="shared" si="9"/>
        <v>2236</v>
      </c>
      <c r="M27" s="8">
        <f t="shared" si="10"/>
        <v>2.0547945205479454</v>
      </c>
      <c r="N27" s="8">
        <f t="shared" si="11"/>
        <v>3.4883720930232558</v>
      </c>
      <c r="O27" s="8">
        <f t="shared" si="12"/>
        <v>5</v>
      </c>
      <c r="P27" s="25"/>
      <c r="Q27" s="25"/>
      <c r="R27" s="25"/>
      <c r="S27" s="7" t="s">
        <v>26</v>
      </c>
      <c r="T27" s="7">
        <v>2500</v>
      </c>
      <c r="U27" s="7">
        <v>0.66</v>
      </c>
      <c r="V27" s="7">
        <v>0.4</v>
      </c>
      <c r="W27" s="7">
        <v>0.6</v>
      </c>
      <c r="X27" s="7">
        <f t="shared" si="22"/>
        <v>2.5</v>
      </c>
      <c r="Y27" s="7">
        <v>0.6</v>
      </c>
      <c r="Z27" s="8">
        <f t="shared" si="23"/>
        <v>0.39999999999999991</v>
      </c>
      <c r="AA27" s="9">
        <f t="shared" si="24"/>
        <v>999.99999999999977</v>
      </c>
      <c r="AB27" s="8">
        <f t="shared" si="25"/>
        <v>2.5</v>
      </c>
      <c r="AC27" s="8">
        <f t="shared" si="4"/>
        <v>7.5000000000000018</v>
      </c>
      <c r="AD27" s="8">
        <f t="shared" si="5"/>
        <v>3.75</v>
      </c>
      <c r="AE27" s="25"/>
      <c r="AF27" s="25"/>
      <c r="AG27" s="25"/>
      <c r="AH27" s="7" t="s">
        <v>26</v>
      </c>
      <c r="AI27" s="7">
        <v>1720</v>
      </c>
      <c r="AJ27" s="13">
        <v>0.6</v>
      </c>
      <c r="AK27" s="7">
        <v>0.3</v>
      </c>
      <c r="AL27" s="7">
        <v>0.6</v>
      </c>
      <c r="AM27" s="7">
        <f t="shared" si="26"/>
        <v>2.5</v>
      </c>
      <c r="AN27" s="7">
        <v>0.45</v>
      </c>
      <c r="AO27" s="8">
        <f t="shared" si="13"/>
        <v>0.6</v>
      </c>
      <c r="AP27" s="9">
        <f t="shared" si="14"/>
        <v>1032</v>
      </c>
      <c r="AQ27" s="8">
        <f t="shared" si="15"/>
        <v>2.5</v>
      </c>
      <c r="AR27" s="8">
        <f t="shared" si="16"/>
        <v>5</v>
      </c>
      <c r="AS27" s="8">
        <f t="shared" si="17"/>
        <v>5</v>
      </c>
    </row>
    <row r="28" spans="1:45" ht="15.75" customHeight="1" x14ac:dyDescent="0.25">
      <c r="A28" s="25"/>
      <c r="B28" s="25"/>
      <c r="C28" s="25"/>
      <c r="D28" s="7" t="s">
        <v>26</v>
      </c>
      <c r="E28" s="7">
        <v>3800</v>
      </c>
      <c r="F28" s="7">
        <f>600*0.001/1</f>
        <v>0.6</v>
      </c>
      <c r="G28" s="7">
        <v>0.3</v>
      </c>
      <c r="H28" s="10">
        <v>0.75</v>
      </c>
      <c r="I28" s="7">
        <f t="shared" si="28"/>
        <v>2</v>
      </c>
      <c r="J28" s="12">
        <v>0.6</v>
      </c>
      <c r="K28" s="8">
        <f t="shared" si="8"/>
        <v>0.9</v>
      </c>
      <c r="L28" s="9">
        <f t="shared" si="9"/>
        <v>3420</v>
      </c>
      <c r="M28" s="8">
        <f t="shared" si="10"/>
        <v>2</v>
      </c>
      <c r="N28" s="8">
        <f t="shared" si="11"/>
        <v>3.333333333333333</v>
      </c>
      <c r="O28" s="8">
        <f t="shared" si="12"/>
        <v>5</v>
      </c>
      <c r="P28" s="25"/>
      <c r="Q28" s="25"/>
      <c r="R28" s="25"/>
      <c r="S28" s="32" t="s">
        <v>27</v>
      </c>
      <c r="T28" s="33"/>
      <c r="U28" s="33"/>
      <c r="V28" s="33"/>
      <c r="W28" s="33"/>
      <c r="X28" s="33"/>
      <c r="Y28" s="34"/>
      <c r="Z28" s="8">
        <f t="shared" si="23"/>
        <v>0</v>
      </c>
      <c r="AA28" s="9">
        <f t="shared" si="24"/>
        <v>0</v>
      </c>
      <c r="AC28" s="8" t="e">
        <f t="shared" si="4"/>
        <v>#DIV/0!</v>
      </c>
      <c r="AD28" s="8" t="e">
        <f t="shared" si="5"/>
        <v>#DIV/0!</v>
      </c>
      <c r="AE28" s="25"/>
      <c r="AF28" s="25"/>
      <c r="AG28" s="25"/>
      <c r="AH28" s="32" t="s">
        <v>27</v>
      </c>
      <c r="AI28" s="33"/>
      <c r="AJ28" s="33"/>
      <c r="AK28" s="33"/>
      <c r="AL28" s="33"/>
      <c r="AM28" s="33"/>
      <c r="AN28" s="34"/>
      <c r="AO28" s="8">
        <f t="shared" si="13"/>
        <v>0</v>
      </c>
      <c r="AP28" s="9">
        <f t="shared" si="14"/>
        <v>0</v>
      </c>
      <c r="AQ28" s="8" t="e">
        <f t="shared" si="15"/>
        <v>#DIV/0!</v>
      </c>
      <c r="AR28" s="8">
        <f t="shared" si="16"/>
        <v>5</v>
      </c>
      <c r="AS28" s="8" t="e">
        <f t="shared" si="17"/>
        <v>#DIV/0!</v>
      </c>
    </row>
    <row r="29" spans="1:45" ht="15.75" customHeight="1" x14ac:dyDescent="0.25">
      <c r="A29" s="25"/>
      <c r="B29" s="25"/>
      <c r="C29" s="25"/>
      <c r="D29" s="32" t="s">
        <v>27</v>
      </c>
      <c r="E29" s="33"/>
      <c r="F29" s="33"/>
      <c r="G29" s="33"/>
      <c r="H29" s="33"/>
      <c r="I29" s="33"/>
      <c r="J29" s="34"/>
      <c r="K29" s="8">
        <f t="shared" si="8"/>
        <v>0</v>
      </c>
      <c r="L29" s="9">
        <f t="shared" si="9"/>
        <v>0</v>
      </c>
      <c r="M29" s="8" t="e">
        <f t="shared" si="10"/>
        <v>#DIV/0!</v>
      </c>
      <c r="N29" s="8" t="e">
        <f t="shared" si="11"/>
        <v>#DIV/0!</v>
      </c>
      <c r="O29" s="8" t="e">
        <f t="shared" si="12"/>
        <v>#DIV/0!</v>
      </c>
      <c r="P29" s="25"/>
      <c r="Q29" s="25"/>
      <c r="R29" s="25"/>
      <c r="S29" s="7" t="s">
        <v>16</v>
      </c>
      <c r="T29" s="7">
        <v>1200</v>
      </c>
      <c r="U29" s="7">
        <v>0.6</v>
      </c>
      <c r="V29" s="7">
        <v>0.3</v>
      </c>
      <c r="W29" s="7">
        <v>0.63</v>
      </c>
      <c r="X29" s="7">
        <f t="shared" ref="X29:X35" si="29">1.5/W29</f>
        <v>2.3809523809523809</v>
      </c>
      <c r="Y29" s="7">
        <v>0.4</v>
      </c>
      <c r="Z29" s="8">
        <f t="shared" si="23"/>
        <v>0.66</v>
      </c>
      <c r="AA29" s="9">
        <f t="shared" si="24"/>
        <v>792</v>
      </c>
      <c r="AB29" s="8">
        <f t="shared" ref="AB29:AB35" si="30">(1.5/W29)</f>
        <v>2.3809523809523809</v>
      </c>
      <c r="AC29" s="8">
        <f t="shared" si="4"/>
        <v>4.545454545454545</v>
      </c>
      <c r="AD29" s="8">
        <f t="shared" si="5"/>
        <v>5</v>
      </c>
      <c r="AE29" s="25"/>
      <c r="AF29" s="25"/>
      <c r="AG29" s="25"/>
      <c r="AH29" s="7" t="s">
        <v>16</v>
      </c>
      <c r="AI29" s="7">
        <v>2400</v>
      </c>
      <c r="AJ29" s="7">
        <v>0.6</v>
      </c>
      <c r="AK29" s="7">
        <v>0.45</v>
      </c>
      <c r="AL29" s="7">
        <v>0.6</v>
      </c>
      <c r="AM29" s="7">
        <f t="shared" ref="AM29:AM35" si="31">1.5/AL29</f>
        <v>2.5</v>
      </c>
      <c r="AN29" s="7">
        <v>0.45</v>
      </c>
      <c r="AO29" s="8">
        <f t="shared" si="13"/>
        <v>0.29999999999999993</v>
      </c>
      <c r="AP29" s="9">
        <f t="shared" si="14"/>
        <v>719.99999999999989</v>
      </c>
      <c r="AQ29" s="8">
        <f t="shared" si="15"/>
        <v>2.5</v>
      </c>
      <c r="AR29" s="8" t="e">
        <f t="shared" si="16"/>
        <v>#DIV/0!</v>
      </c>
      <c r="AS29" s="8">
        <f t="shared" si="17"/>
        <v>3.333333333333333</v>
      </c>
    </row>
    <row r="30" spans="1:45" ht="15.75" customHeight="1" x14ac:dyDescent="0.25">
      <c r="A30" s="25"/>
      <c r="B30" s="25"/>
      <c r="C30" s="25"/>
      <c r="D30" s="7" t="s">
        <v>16</v>
      </c>
      <c r="E30" s="7">
        <v>6000</v>
      </c>
      <c r="F30" s="7">
        <v>1</v>
      </c>
      <c r="G30" s="7">
        <v>0.3</v>
      </c>
      <c r="H30" s="7">
        <v>0.9</v>
      </c>
      <c r="I30" s="7">
        <f t="shared" ref="I30:I36" si="32">1.5/H30</f>
        <v>1.6666666666666665</v>
      </c>
      <c r="J30" s="7">
        <v>0.6</v>
      </c>
      <c r="K30" s="8">
        <f t="shared" si="8"/>
        <v>1.2000000000000002</v>
      </c>
      <c r="L30" s="9">
        <f t="shared" si="9"/>
        <v>7200.0000000000009</v>
      </c>
      <c r="M30" s="8">
        <f t="shared" si="10"/>
        <v>1.6666666666666665</v>
      </c>
      <c r="N30" s="8">
        <f t="shared" si="11"/>
        <v>2.4999999999999996</v>
      </c>
      <c r="O30" s="8">
        <f t="shared" si="12"/>
        <v>5</v>
      </c>
      <c r="P30" s="25"/>
      <c r="Q30" s="25"/>
      <c r="R30" s="25"/>
      <c r="S30" s="7" t="s">
        <v>19</v>
      </c>
      <c r="T30" s="7">
        <v>1360</v>
      </c>
      <c r="U30" s="7">
        <v>0.6</v>
      </c>
      <c r="V30" s="7">
        <v>0.3</v>
      </c>
      <c r="W30" s="7">
        <v>0.5</v>
      </c>
      <c r="X30" s="7">
        <f t="shared" si="29"/>
        <v>3</v>
      </c>
      <c r="Y30" s="7">
        <v>0.65</v>
      </c>
      <c r="Z30" s="8">
        <f t="shared" si="23"/>
        <v>0.4</v>
      </c>
      <c r="AA30" s="9">
        <f t="shared" si="24"/>
        <v>544</v>
      </c>
      <c r="AB30" s="8">
        <f t="shared" si="30"/>
        <v>3</v>
      </c>
      <c r="AC30" s="8">
        <f t="shared" si="4"/>
        <v>7.5</v>
      </c>
      <c r="AD30" s="8">
        <f t="shared" si="5"/>
        <v>5</v>
      </c>
      <c r="AE30" s="25"/>
      <c r="AF30" s="25"/>
      <c r="AG30" s="25"/>
      <c r="AH30" s="7" t="s">
        <v>19</v>
      </c>
      <c r="AI30" s="7">
        <v>1440</v>
      </c>
      <c r="AJ30" s="7">
        <v>0.76</v>
      </c>
      <c r="AK30" s="7">
        <f>320/1000</f>
        <v>0.32</v>
      </c>
      <c r="AL30" s="7">
        <v>0.6</v>
      </c>
      <c r="AM30" s="7">
        <f t="shared" si="31"/>
        <v>2.5</v>
      </c>
      <c r="AN30" s="7">
        <v>0.4</v>
      </c>
      <c r="AO30" s="8">
        <f t="shared" si="13"/>
        <v>0.55999999999999994</v>
      </c>
      <c r="AP30" s="9">
        <f t="shared" si="14"/>
        <v>806.39999999999986</v>
      </c>
      <c r="AQ30" s="8">
        <f t="shared" si="15"/>
        <v>2.5</v>
      </c>
      <c r="AR30" s="8">
        <f t="shared" si="16"/>
        <v>10.000000000000002</v>
      </c>
      <c r="AS30" s="8">
        <f t="shared" si="17"/>
        <v>4.6875</v>
      </c>
    </row>
    <row r="31" spans="1:45" ht="15.75" customHeight="1" x14ac:dyDescent="0.25">
      <c r="A31" s="25"/>
      <c r="B31" s="25"/>
      <c r="C31" s="25"/>
      <c r="D31" s="7" t="s">
        <v>19</v>
      </c>
      <c r="E31" s="7">
        <v>1000</v>
      </c>
      <c r="F31" s="7">
        <v>0.6</v>
      </c>
      <c r="G31" s="7">
        <v>0.3</v>
      </c>
      <c r="H31" s="7">
        <v>0.6</v>
      </c>
      <c r="I31" s="7">
        <f t="shared" si="32"/>
        <v>2.5</v>
      </c>
      <c r="J31" s="7">
        <v>0.6</v>
      </c>
      <c r="K31" s="8">
        <f t="shared" si="8"/>
        <v>0.6</v>
      </c>
      <c r="L31" s="9">
        <f t="shared" si="9"/>
        <v>600</v>
      </c>
      <c r="M31" s="8">
        <f t="shared" si="10"/>
        <v>2.5</v>
      </c>
      <c r="N31" s="8">
        <f t="shared" si="11"/>
        <v>5</v>
      </c>
      <c r="O31" s="8">
        <f t="shared" si="12"/>
        <v>5</v>
      </c>
      <c r="P31" s="25"/>
      <c r="Q31" s="25"/>
      <c r="R31" s="25"/>
      <c r="S31" s="7" t="s">
        <v>22</v>
      </c>
      <c r="T31" s="7">
        <v>1360</v>
      </c>
      <c r="U31" s="7">
        <v>0.6</v>
      </c>
      <c r="V31" s="7">
        <v>0.3</v>
      </c>
      <c r="W31" s="7">
        <v>0.5</v>
      </c>
      <c r="X31" s="7">
        <f t="shared" si="29"/>
        <v>3</v>
      </c>
      <c r="Y31" s="7">
        <v>0.65</v>
      </c>
      <c r="Z31" s="8">
        <f t="shared" si="23"/>
        <v>0.4</v>
      </c>
      <c r="AA31" s="9">
        <f t="shared" si="24"/>
        <v>544</v>
      </c>
      <c r="AB31" s="8">
        <f t="shared" si="30"/>
        <v>3</v>
      </c>
      <c r="AC31" s="8">
        <f t="shared" si="4"/>
        <v>7.5</v>
      </c>
      <c r="AD31" s="8">
        <f t="shared" si="5"/>
        <v>5</v>
      </c>
      <c r="AE31" s="25"/>
      <c r="AF31" s="25"/>
      <c r="AG31" s="25"/>
      <c r="AH31" s="7" t="s">
        <v>22</v>
      </c>
      <c r="AI31" s="7">
        <f>3.52*1000</f>
        <v>3520</v>
      </c>
      <c r="AJ31" s="7">
        <v>0.8</v>
      </c>
      <c r="AK31" s="7">
        <v>0.5</v>
      </c>
      <c r="AL31" s="7">
        <v>0.75</v>
      </c>
      <c r="AM31" s="7">
        <f t="shared" si="31"/>
        <v>2</v>
      </c>
      <c r="AN31" s="7">
        <v>0.5</v>
      </c>
      <c r="AO31" s="8">
        <f t="shared" si="13"/>
        <v>0.5</v>
      </c>
      <c r="AP31" s="9">
        <f t="shared" si="14"/>
        <v>1760</v>
      </c>
      <c r="AQ31" s="8">
        <f t="shared" si="15"/>
        <v>2</v>
      </c>
      <c r="AR31" s="8">
        <f t="shared" si="16"/>
        <v>5.3571428571428577</v>
      </c>
      <c r="AS31" s="8">
        <f t="shared" si="17"/>
        <v>3</v>
      </c>
    </row>
    <row r="32" spans="1:45" ht="15.75" customHeight="1" x14ac:dyDescent="0.25">
      <c r="A32" s="25"/>
      <c r="B32" s="25"/>
      <c r="C32" s="25"/>
      <c r="D32" s="7" t="s">
        <v>22</v>
      </c>
      <c r="E32" s="7">
        <v>8000</v>
      </c>
      <c r="F32" s="7">
        <v>1</v>
      </c>
      <c r="G32" s="7">
        <v>0.35</v>
      </c>
      <c r="H32" s="10">
        <v>0.82</v>
      </c>
      <c r="I32" s="7">
        <f t="shared" si="32"/>
        <v>1.8292682926829269</v>
      </c>
      <c r="J32" s="7">
        <v>0.6</v>
      </c>
      <c r="K32" s="8">
        <f t="shared" si="8"/>
        <v>0.94</v>
      </c>
      <c r="L32" s="9">
        <f t="shared" si="9"/>
        <v>7520</v>
      </c>
      <c r="M32" s="8">
        <f t="shared" si="10"/>
        <v>1.8292682926829269</v>
      </c>
      <c r="N32" s="8">
        <f t="shared" si="11"/>
        <v>3.191489361702128</v>
      </c>
      <c r="O32" s="8">
        <f t="shared" si="12"/>
        <v>4.2857142857142856</v>
      </c>
      <c r="P32" s="25"/>
      <c r="Q32" s="25"/>
      <c r="R32" s="25"/>
      <c r="S32" s="7" t="s">
        <v>23</v>
      </c>
      <c r="T32" s="7">
        <v>1500</v>
      </c>
      <c r="U32" s="7">
        <v>0.65</v>
      </c>
      <c r="V32" s="7">
        <v>0.35</v>
      </c>
      <c r="W32" s="7">
        <v>0.4</v>
      </c>
      <c r="X32" s="7">
        <f t="shared" si="29"/>
        <v>3.75</v>
      </c>
      <c r="Y32" s="7">
        <v>0.6</v>
      </c>
      <c r="Z32" s="8">
        <f t="shared" si="23"/>
        <v>0.10000000000000009</v>
      </c>
      <c r="AA32" s="9">
        <f t="shared" si="24"/>
        <v>150.00000000000014</v>
      </c>
      <c r="AB32" s="8">
        <f t="shared" si="30"/>
        <v>3.75</v>
      </c>
      <c r="AC32" s="8">
        <f t="shared" si="4"/>
        <v>29.999999999999972</v>
      </c>
      <c r="AD32" s="8">
        <f t="shared" si="5"/>
        <v>4.2857142857142856</v>
      </c>
      <c r="AE32" s="25"/>
      <c r="AF32" s="25"/>
      <c r="AG32" s="25"/>
      <c r="AH32" s="7" t="s">
        <v>23</v>
      </c>
      <c r="AI32" s="7">
        <v>2800</v>
      </c>
      <c r="AJ32" s="7">
        <v>0.68</v>
      </c>
      <c r="AK32" s="7">
        <v>0.4</v>
      </c>
      <c r="AL32" s="7">
        <v>0.7</v>
      </c>
      <c r="AM32" s="7">
        <f t="shared" si="31"/>
        <v>2.1428571428571428</v>
      </c>
      <c r="AN32" s="7">
        <v>0.4</v>
      </c>
      <c r="AO32" s="8">
        <f t="shared" si="13"/>
        <v>0.59999999999999987</v>
      </c>
      <c r="AP32" s="9">
        <f t="shared" si="14"/>
        <v>1679.9999999999995</v>
      </c>
      <c r="AQ32" s="8">
        <f t="shared" si="15"/>
        <v>2.1428571428571428</v>
      </c>
      <c r="AR32" s="8">
        <f t="shared" si="16"/>
        <v>6</v>
      </c>
      <c r="AS32" s="8">
        <f t="shared" si="17"/>
        <v>3.75</v>
      </c>
    </row>
    <row r="33" spans="1:45" ht="15.75" customHeight="1" x14ac:dyDescent="0.25">
      <c r="A33" s="25"/>
      <c r="B33" s="25"/>
      <c r="C33" s="25"/>
      <c r="D33" s="7" t="s">
        <v>23</v>
      </c>
      <c r="E33" s="7">
        <v>4000</v>
      </c>
      <c r="F33" s="7">
        <v>0.7</v>
      </c>
      <c r="G33" s="7">
        <v>0.35</v>
      </c>
      <c r="H33" s="10">
        <v>0.75</v>
      </c>
      <c r="I33" s="7">
        <f t="shared" si="32"/>
        <v>2</v>
      </c>
      <c r="J33" s="7">
        <v>0.6</v>
      </c>
      <c r="K33" s="8">
        <f t="shared" si="8"/>
        <v>0.8</v>
      </c>
      <c r="L33" s="9">
        <f t="shared" si="9"/>
        <v>3200</v>
      </c>
      <c r="M33" s="8">
        <f t="shared" si="10"/>
        <v>2</v>
      </c>
      <c r="N33" s="8">
        <f t="shared" si="11"/>
        <v>3.75</v>
      </c>
      <c r="O33" s="8">
        <f t="shared" si="12"/>
        <v>4.2857142857142856</v>
      </c>
      <c r="P33" s="25"/>
      <c r="Q33" s="25"/>
      <c r="R33" s="25"/>
      <c r="S33" s="7" t="s">
        <v>24</v>
      </c>
      <c r="T33" s="7">
        <v>1600</v>
      </c>
      <c r="U33" s="7">
        <v>0.65</v>
      </c>
      <c r="V33" s="1">
        <v>0.35</v>
      </c>
      <c r="W33" s="7">
        <v>0.55000000000000004</v>
      </c>
      <c r="X33" s="7">
        <f t="shared" si="29"/>
        <v>2.7272727272727271</v>
      </c>
      <c r="Y33" s="7">
        <v>0.65</v>
      </c>
      <c r="Z33" s="8">
        <f t="shared" si="23"/>
        <v>0.40000000000000013</v>
      </c>
      <c r="AA33" s="9">
        <f t="shared" si="24"/>
        <v>640.00000000000023</v>
      </c>
      <c r="AB33" s="8">
        <f t="shared" si="30"/>
        <v>2.7272727272727271</v>
      </c>
      <c r="AC33" s="8">
        <f t="shared" si="4"/>
        <v>7.4999999999999973</v>
      </c>
      <c r="AD33" s="8">
        <f t="shared" si="5"/>
        <v>4.2857142857142856</v>
      </c>
      <c r="AE33" s="25"/>
      <c r="AF33" s="25"/>
      <c r="AG33" s="25"/>
      <c r="AH33" s="7" t="s">
        <v>24</v>
      </c>
      <c r="AI33" s="7">
        <f>2.08*1000</f>
        <v>2080</v>
      </c>
      <c r="AJ33" s="7">
        <v>0.68</v>
      </c>
      <c r="AK33" s="7">
        <v>0.4</v>
      </c>
      <c r="AL33" s="7">
        <v>0.7</v>
      </c>
      <c r="AM33" s="7">
        <f t="shared" si="31"/>
        <v>2.1428571428571428</v>
      </c>
      <c r="AN33" s="7">
        <v>0.4</v>
      </c>
      <c r="AO33" s="8">
        <f t="shared" si="13"/>
        <v>0.59999999999999987</v>
      </c>
      <c r="AP33" s="9">
        <f t="shared" si="14"/>
        <v>1247.9999999999998</v>
      </c>
      <c r="AQ33" s="8">
        <f t="shared" si="15"/>
        <v>2.1428571428571428</v>
      </c>
      <c r="AR33" s="8">
        <f t="shared" si="16"/>
        <v>5.0000000000000009</v>
      </c>
      <c r="AS33" s="8">
        <f t="shared" si="17"/>
        <v>3.75</v>
      </c>
    </row>
    <row r="34" spans="1:45" ht="15.75" customHeight="1" x14ac:dyDescent="0.25">
      <c r="A34" s="25"/>
      <c r="B34" s="25"/>
      <c r="C34" s="25"/>
      <c r="D34" s="7" t="s">
        <v>24</v>
      </c>
      <c r="E34" s="7">
        <v>6000</v>
      </c>
      <c r="F34" s="7">
        <v>0.7</v>
      </c>
      <c r="G34" s="7">
        <v>0.35</v>
      </c>
      <c r="H34" s="7">
        <v>0.93</v>
      </c>
      <c r="I34" s="7">
        <f t="shared" si="32"/>
        <v>1.6129032258064515</v>
      </c>
      <c r="J34" s="7">
        <v>0.6</v>
      </c>
      <c r="K34" s="8">
        <f t="shared" si="8"/>
        <v>1.1600000000000001</v>
      </c>
      <c r="L34" s="9">
        <f t="shared" si="9"/>
        <v>6960.0000000000009</v>
      </c>
      <c r="M34" s="8">
        <f t="shared" si="10"/>
        <v>1.6129032258064515</v>
      </c>
      <c r="N34" s="8">
        <f t="shared" si="11"/>
        <v>2.5862068965517238</v>
      </c>
      <c r="O34" s="8">
        <f t="shared" si="12"/>
        <v>4.2857142857142856</v>
      </c>
      <c r="P34" s="25"/>
      <c r="Q34" s="25"/>
      <c r="R34" s="25"/>
      <c r="S34" s="7" t="s">
        <v>25</v>
      </c>
      <c r="T34" s="7">
        <v>1640</v>
      </c>
      <c r="U34" s="7">
        <v>0.65</v>
      </c>
      <c r="V34" s="7">
        <v>0.35</v>
      </c>
      <c r="W34" s="7">
        <v>0.55000000000000004</v>
      </c>
      <c r="X34" s="7">
        <f t="shared" si="29"/>
        <v>2.7272727272727271</v>
      </c>
      <c r="Y34" s="7">
        <v>1</v>
      </c>
      <c r="Z34" s="8">
        <f t="shared" si="23"/>
        <v>0.40000000000000013</v>
      </c>
      <c r="AA34" s="9">
        <f t="shared" si="24"/>
        <v>656.00000000000023</v>
      </c>
      <c r="AB34" s="8">
        <f t="shared" si="30"/>
        <v>2.7272727272727271</v>
      </c>
      <c r="AC34" s="8">
        <f t="shared" si="4"/>
        <v>7.4999999999999973</v>
      </c>
      <c r="AD34" s="8">
        <f t="shared" si="5"/>
        <v>4.2857142857142856</v>
      </c>
      <c r="AE34" s="25"/>
      <c r="AF34" s="25"/>
      <c r="AG34" s="25"/>
      <c r="AH34" s="7" t="s">
        <v>25</v>
      </c>
      <c r="AI34" s="7">
        <v>3520</v>
      </c>
      <c r="AJ34" s="7">
        <v>0.68</v>
      </c>
      <c r="AK34" s="7">
        <v>0.4</v>
      </c>
      <c r="AL34" s="7">
        <v>0.6</v>
      </c>
      <c r="AM34" s="7">
        <f t="shared" si="31"/>
        <v>2.5</v>
      </c>
      <c r="AN34" s="7">
        <v>0.45</v>
      </c>
      <c r="AO34" s="8">
        <f t="shared" si="13"/>
        <v>0.39999999999999991</v>
      </c>
      <c r="AP34" s="9">
        <f t="shared" si="14"/>
        <v>1407.9999999999998</v>
      </c>
      <c r="AQ34" s="8">
        <f t="shared" si="15"/>
        <v>2.5</v>
      </c>
      <c r="AR34" s="8">
        <f t="shared" si="16"/>
        <v>5.0000000000000009</v>
      </c>
      <c r="AS34" s="8">
        <f t="shared" si="17"/>
        <v>3.75</v>
      </c>
    </row>
    <row r="35" spans="1:45" ht="15.75" customHeight="1" x14ac:dyDescent="0.25">
      <c r="A35" s="26"/>
      <c r="B35" s="26"/>
      <c r="C35" s="26"/>
      <c r="D35" s="7" t="s">
        <v>25</v>
      </c>
      <c r="E35" s="7">
        <v>6000</v>
      </c>
      <c r="F35" s="13">
        <v>1.4</v>
      </c>
      <c r="G35" s="7">
        <v>0.45</v>
      </c>
      <c r="H35" s="10">
        <v>1</v>
      </c>
      <c r="I35" s="7">
        <f t="shared" si="32"/>
        <v>1.5</v>
      </c>
      <c r="J35" s="7">
        <v>0.8</v>
      </c>
      <c r="K35" s="8">
        <f t="shared" si="8"/>
        <v>1.1000000000000001</v>
      </c>
      <c r="L35" s="9">
        <f t="shared" si="9"/>
        <v>6600.0000000000009</v>
      </c>
      <c r="M35" s="8">
        <f t="shared" si="10"/>
        <v>1.5</v>
      </c>
      <c r="N35" s="8">
        <f t="shared" si="11"/>
        <v>2.7272727272727271</v>
      </c>
      <c r="O35" s="8">
        <f t="shared" si="12"/>
        <v>3.333333333333333</v>
      </c>
      <c r="P35" s="26"/>
      <c r="Q35" s="26"/>
      <c r="R35" s="26"/>
      <c r="S35" s="7" t="s">
        <v>26</v>
      </c>
      <c r="T35" s="7">
        <v>1560</v>
      </c>
      <c r="U35" s="7">
        <v>0.65</v>
      </c>
      <c r="V35" s="7">
        <v>0.4</v>
      </c>
      <c r="W35" s="7">
        <v>0.5</v>
      </c>
      <c r="X35" s="7">
        <f t="shared" si="29"/>
        <v>3</v>
      </c>
      <c r="Y35" s="7">
        <v>1</v>
      </c>
      <c r="Z35" s="8">
        <f t="shared" si="23"/>
        <v>0.19999999999999996</v>
      </c>
      <c r="AA35" s="9">
        <f t="shared" si="24"/>
        <v>311.99999999999994</v>
      </c>
      <c r="AB35" s="8">
        <f t="shared" si="30"/>
        <v>3</v>
      </c>
      <c r="AC35" s="8">
        <f t="shared" si="4"/>
        <v>15.000000000000004</v>
      </c>
      <c r="AD35" s="8">
        <f t="shared" si="5"/>
        <v>3.75</v>
      </c>
      <c r="AE35" s="26"/>
      <c r="AF35" s="26"/>
      <c r="AG35" s="26"/>
      <c r="AH35" s="7" t="s">
        <v>26</v>
      </c>
      <c r="AI35" s="7">
        <v>3200</v>
      </c>
      <c r="AJ35" s="7">
        <v>0.68</v>
      </c>
      <c r="AK35" s="7">
        <v>0.4</v>
      </c>
      <c r="AL35" s="7">
        <v>0.6</v>
      </c>
      <c r="AM35" s="7">
        <f t="shared" si="31"/>
        <v>2.5</v>
      </c>
      <c r="AN35" s="7">
        <v>0.45</v>
      </c>
      <c r="AO35" s="8">
        <f t="shared" si="13"/>
        <v>0.39999999999999991</v>
      </c>
      <c r="AP35" s="9">
        <f t="shared" si="14"/>
        <v>1279.9999999999998</v>
      </c>
      <c r="AQ35" s="8">
        <f t="shared" si="15"/>
        <v>2.5</v>
      </c>
      <c r="AR35" s="8">
        <f t="shared" si="16"/>
        <v>7.5000000000000018</v>
      </c>
      <c r="AS35" s="8">
        <f t="shared" si="17"/>
        <v>3.75</v>
      </c>
    </row>
    <row r="36" spans="1:45" ht="15.75" customHeight="1" x14ac:dyDescent="0.25">
      <c r="A36" s="24">
        <v>44655</v>
      </c>
      <c r="B36" s="27">
        <v>255</v>
      </c>
      <c r="C36" s="28" t="s">
        <v>17</v>
      </c>
      <c r="D36" s="7" t="s">
        <v>26</v>
      </c>
      <c r="E36" s="7">
        <v>6000</v>
      </c>
      <c r="F36" s="13">
        <v>1.4</v>
      </c>
      <c r="G36" s="7">
        <v>0.45</v>
      </c>
      <c r="H36" s="10">
        <v>1</v>
      </c>
      <c r="I36" s="7">
        <f t="shared" si="32"/>
        <v>1.5</v>
      </c>
      <c r="J36" s="7">
        <v>0.8</v>
      </c>
      <c r="K36" s="8">
        <f t="shared" si="8"/>
        <v>1.1000000000000001</v>
      </c>
      <c r="L36" s="9">
        <f t="shared" si="9"/>
        <v>6600.0000000000009</v>
      </c>
      <c r="M36" s="8">
        <f t="shared" si="10"/>
        <v>1.5</v>
      </c>
      <c r="N36" s="8">
        <f t="shared" si="11"/>
        <v>2.7272727272727271</v>
      </c>
      <c r="O36" s="8">
        <f t="shared" si="12"/>
        <v>3.333333333333333</v>
      </c>
      <c r="P36" s="31">
        <v>44734</v>
      </c>
      <c r="Q36" s="27">
        <v>270</v>
      </c>
      <c r="R36" s="27" t="s">
        <v>18</v>
      </c>
      <c r="S36" s="32" t="s">
        <v>15</v>
      </c>
      <c r="T36" s="33"/>
      <c r="U36" s="33"/>
      <c r="V36" s="33"/>
      <c r="W36" s="33"/>
      <c r="X36" s="33"/>
      <c r="Y36" s="34"/>
      <c r="Z36" s="8">
        <f t="shared" si="23"/>
        <v>0</v>
      </c>
      <c r="AA36" s="9">
        <f t="shared" si="24"/>
        <v>0</v>
      </c>
      <c r="AC36" s="8" t="e">
        <f t="shared" si="4"/>
        <v>#DIV/0!</v>
      </c>
      <c r="AD36" s="8" t="e">
        <f t="shared" si="5"/>
        <v>#DIV/0!</v>
      </c>
      <c r="AE36" s="27" t="s">
        <v>29</v>
      </c>
      <c r="AF36" s="27">
        <v>304</v>
      </c>
      <c r="AG36" s="27" t="s">
        <v>21</v>
      </c>
      <c r="AH36" s="32" t="s">
        <v>15</v>
      </c>
      <c r="AI36" s="33"/>
      <c r="AJ36" s="33"/>
      <c r="AK36" s="33"/>
      <c r="AL36" s="33"/>
      <c r="AM36" s="33"/>
      <c r="AN36" s="34"/>
      <c r="AO36" s="8">
        <f t="shared" si="13"/>
        <v>0</v>
      </c>
      <c r="AP36" s="9">
        <f t="shared" si="14"/>
        <v>0</v>
      </c>
      <c r="AQ36" s="8" t="e">
        <f t="shared" si="15"/>
        <v>#DIV/0!</v>
      </c>
      <c r="AR36" s="8">
        <f t="shared" si="16"/>
        <v>7.5000000000000018</v>
      </c>
      <c r="AS36" s="8" t="e">
        <f t="shared" si="17"/>
        <v>#DIV/0!</v>
      </c>
    </row>
    <row r="37" spans="1:45" ht="15.75" customHeight="1" x14ac:dyDescent="0.25">
      <c r="A37" s="25"/>
      <c r="B37" s="25"/>
      <c r="C37" s="29"/>
      <c r="D37" s="32" t="s">
        <v>15</v>
      </c>
      <c r="E37" s="33"/>
      <c r="F37" s="33"/>
      <c r="G37" s="33"/>
      <c r="H37" s="33"/>
      <c r="I37" s="33"/>
      <c r="J37" s="34"/>
      <c r="K37" s="8">
        <f t="shared" si="8"/>
        <v>0</v>
      </c>
      <c r="L37" s="9">
        <f t="shared" si="9"/>
        <v>0</v>
      </c>
      <c r="M37" s="8" t="e">
        <f t="shared" si="10"/>
        <v>#DIV/0!</v>
      </c>
      <c r="N37" s="8" t="e">
        <f t="shared" si="11"/>
        <v>#DIV/0!</v>
      </c>
      <c r="O37" s="8" t="e">
        <f t="shared" si="12"/>
        <v>#DIV/0!</v>
      </c>
      <c r="P37" s="25"/>
      <c r="Q37" s="25"/>
      <c r="R37" s="25"/>
      <c r="S37" s="14" t="s">
        <v>3</v>
      </c>
      <c r="T37" s="14" t="s">
        <v>4</v>
      </c>
      <c r="U37" s="14" t="s">
        <v>5</v>
      </c>
      <c r="V37" s="14" t="s">
        <v>6</v>
      </c>
      <c r="W37" s="14" t="s">
        <v>7</v>
      </c>
      <c r="X37" s="14" t="s">
        <v>8</v>
      </c>
      <c r="Y37" s="14" t="s">
        <v>10</v>
      </c>
      <c r="AA37" s="9"/>
      <c r="AC37" s="8" t="e">
        <f t="shared" si="4"/>
        <v>#VALUE!</v>
      </c>
      <c r="AD37" s="8" t="e">
        <f t="shared" si="5"/>
        <v>#VALUE!</v>
      </c>
      <c r="AE37" s="25"/>
      <c r="AF37" s="25"/>
      <c r="AG37" s="25"/>
      <c r="AH37" s="14" t="s">
        <v>3</v>
      </c>
      <c r="AI37" s="14" t="s">
        <v>4</v>
      </c>
      <c r="AJ37" s="14" t="s">
        <v>5</v>
      </c>
      <c r="AK37" s="14" t="s">
        <v>6</v>
      </c>
      <c r="AL37" s="14" t="s">
        <v>7</v>
      </c>
      <c r="AM37" s="14" t="s">
        <v>8</v>
      </c>
      <c r="AN37" s="14" t="s">
        <v>10</v>
      </c>
      <c r="AO37" s="8" t="e">
        <f t="shared" si="13"/>
        <v>#VALUE!</v>
      </c>
      <c r="AP37" s="9" t="e">
        <f t="shared" si="14"/>
        <v>#VALUE!</v>
      </c>
      <c r="AQ37" s="8" t="e">
        <f t="shared" si="15"/>
        <v>#VALUE!</v>
      </c>
      <c r="AR37" s="8" t="e">
        <f t="shared" si="16"/>
        <v>#DIV/0!</v>
      </c>
      <c r="AS37" s="8" t="e">
        <f t="shared" si="17"/>
        <v>#VALUE!</v>
      </c>
    </row>
    <row r="38" spans="1:45" ht="15.75" customHeight="1" x14ac:dyDescent="0.25">
      <c r="A38" s="25"/>
      <c r="B38" s="25"/>
      <c r="C38" s="29"/>
      <c r="D38" s="14" t="s">
        <v>3</v>
      </c>
      <c r="E38" s="14" t="s">
        <v>4</v>
      </c>
      <c r="F38" s="14" t="s">
        <v>5</v>
      </c>
      <c r="G38" s="14" t="s">
        <v>6</v>
      </c>
      <c r="H38" s="14" t="s">
        <v>7</v>
      </c>
      <c r="I38" s="14" t="s">
        <v>8</v>
      </c>
      <c r="J38" s="14" t="s">
        <v>10</v>
      </c>
      <c r="K38" s="8" t="e">
        <f t="shared" si="8"/>
        <v>#VALUE!</v>
      </c>
      <c r="L38" s="9" t="e">
        <f t="shared" si="9"/>
        <v>#VALUE!</v>
      </c>
      <c r="M38" s="8" t="e">
        <f t="shared" si="10"/>
        <v>#VALUE!</v>
      </c>
      <c r="N38" s="8" t="e">
        <f t="shared" si="11"/>
        <v>#VALUE!</v>
      </c>
      <c r="O38" s="8" t="e">
        <f t="shared" si="12"/>
        <v>#VALUE!</v>
      </c>
      <c r="P38" s="25"/>
      <c r="Q38" s="25"/>
      <c r="R38" s="25"/>
      <c r="S38" s="7" t="s">
        <v>16</v>
      </c>
      <c r="T38" s="7">
        <v>2200</v>
      </c>
      <c r="U38" s="7">
        <v>0.6</v>
      </c>
      <c r="V38" s="7">
        <v>0.35</v>
      </c>
      <c r="W38" s="7">
        <v>0.6</v>
      </c>
      <c r="X38" s="7">
        <f t="shared" ref="X38:X44" si="33">1.5/W38</f>
        <v>2.5</v>
      </c>
      <c r="Y38" s="7">
        <v>0.45</v>
      </c>
      <c r="Z38" s="8">
        <f t="shared" ref="Z38:Z53" si="34">(W38-V38)*2</f>
        <v>0.5</v>
      </c>
      <c r="AA38" s="9">
        <f t="shared" ref="AA38:AA53" si="35">((W38-V38)*T38)*2</f>
        <v>1100</v>
      </c>
      <c r="AB38" s="8">
        <f t="shared" ref="AB38:AB44" si="36">(1.5/W38)</f>
        <v>2.5</v>
      </c>
      <c r="AC38" s="8">
        <f t="shared" si="4"/>
        <v>6</v>
      </c>
      <c r="AD38" s="8">
        <f t="shared" si="5"/>
        <v>4.2857142857142856</v>
      </c>
      <c r="AE38" s="25"/>
      <c r="AF38" s="25"/>
      <c r="AG38" s="25"/>
      <c r="AH38" s="7" t="s">
        <v>16</v>
      </c>
      <c r="AI38" s="7">
        <v>6000</v>
      </c>
      <c r="AJ38" s="7">
        <v>1</v>
      </c>
      <c r="AK38" s="7">
        <v>0.45</v>
      </c>
      <c r="AL38" s="7">
        <v>0.8</v>
      </c>
      <c r="AM38" s="7">
        <f t="shared" ref="AM38:AM44" si="37">1.5/AL38</f>
        <v>1.875</v>
      </c>
      <c r="AN38" s="15">
        <v>0.8</v>
      </c>
      <c r="AO38" s="8">
        <f t="shared" si="13"/>
        <v>0.70000000000000007</v>
      </c>
      <c r="AP38" s="9">
        <f t="shared" si="14"/>
        <v>4200</v>
      </c>
      <c r="AQ38" s="8">
        <f t="shared" si="15"/>
        <v>1.875</v>
      </c>
      <c r="AR38" s="8" t="e">
        <f t="shared" si="16"/>
        <v>#VALUE!</v>
      </c>
      <c r="AS38" s="8">
        <f t="shared" si="17"/>
        <v>3.333333333333333</v>
      </c>
    </row>
    <row r="39" spans="1:45" ht="15.75" customHeight="1" x14ac:dyDescent="0.25">
      <c r="A39" s="25"/>
      <c r="B39" s="25"/>
      <c r="C39" s="29"/>
      <c r="D39" s="7" t="s">
        <v>16</v>
      </c>
      <c r="E39" s="7">
        <v>2400</v>
      </c>
      <c r="F39" s="13">
        <v>1.1000000000000001</v>
      </c>
      <c r="G39" s="7">
        <v>0.35</v>
      </c>
      <c r="H39" s="7">
        <f>600/1000</f>
        <v>0.6</v>
      </c>
      <c r="I39" s="7">
        <f t="shared" ref="I39:I45" si="38">1.5/H39</f>
        <v>2.5</v>
      </c>
      <c r="J39" s="7">
        <f t="shared" ref="J39:J40" si="39">500/1000</f>
        <v>0.5</v>
      </c>
      <c r="K39" s="8">
        <f t="shared" si="8"/>
        <v>0.5</v>
      </c>
      <c r="L39" s="9">
        <f t="shared" si="9"/>
        <v>1200</v>
      </c>
      <c r="M39" s="8">
        <f t="shared" si="10"/>
        <v>2.5</v>
      </c>
      <c r="N39" s="8">
        <f t="shared" si="11"/>
        <v>6</v>
      </c>
      <c r="O39" s="8">
        <f t="shared" si="12"/>
        <v>4.2857142857142856</v>
      </c>
      <c r="P39" s="25"/>
      <c r="Q39" s="25"/>
      <c r="R39" s="25"/>
      <c r="S39" s="7" t="s">
        <v>19</v>
      </c>
      <c r="T39" s="7">
        <v>2600</v>
      </c>
      <c r="U39" s="7">
        <v>0.6</v>
      </c>
      <c r="V39" s="7">
        <v>0.32</v>
      </c>
      <c r="W39" s="7">
        <v>0.65</v>
      </c>
      <c r="X39" s="7">
        <f t="shared" si="33"/>
        <v>2.3076923076923075</v>
      </c>
      <c r="Y39" s="7">
        <v>0.4</v>
      </c>
      <c r="Z39" s="8">
        <f t="shared" si="34"/>
        <v>0.66</v>
      </c>
      <c r="AA39" s="9">
        <f t="shared" si="35"/>
        <v>1716</v>
      </c>
      <c r="AB39" s="8">
        <f t="shared" si="36"/>
        <v>2.3076923076923075</v>
      </c>
      <c r="AC39" s="8">
        <f t="shared" si="4"/>
        <v>4.545454545454545</v>
      </c>
      <c r="AD39" s="8">
        <f t="shared" si="5"/>
        <v>4.6875</v>
      </c>
      <c r="AE39" s="25"/>
      <c r="AF39" s="25"/>
      <c r="AG39" s="25"/>
      <c r="AH39" s="7" t="s">
        <v>19</v>
      </c>
      <c r="AI39" s="7">
        <v>1200</v>
      </c>
      <c r="AJ39" s="7">
        <v>0.6</v>
      </c>
      <c r="AK39" s="7">
        <v>0.3</v>
      </c>
      <c r="AL39" s="7">
        <v>0.6</v>
      </c>
      <c r="AM39" s="7">
        <f t="shared" si="37"/>
        <v>2.5</v>
      </c>
      <c r="AN39" s="7">
        <v>0.45</v>
      </c>
      <c r="AO39" s="8">
        <f t="shared" si="13"/>
        <v>0.6</v>
      </c>
      <c r="AP39" s="9">
        <f t="shared" si="14"/>
        <v>720</v>
      </c>
      <c r="AQ39" s="8">
        <f t="shared" si="15"/>
        <v>2.5</v>
      </c>
      <c r="AR39" s="8">
        <f t="shared" si="16"/>
        <v>4.2857142857142856</v>
      </c>
      <c r="AS39" s="8">
        <f t="shared" si="17"/>
        <v>5</v>
      </c>
    </row>
    <row r="40" spans="1:45" ht="15.75" customHeight="1" x14ac:dyDescent="0.25">
      <c r="A40" s="25"/>
      <c r="B40" s="25"/>
      <c r="C40" s="29"/>
      <c r="D40" s="7" t="s">
        <v>19</v>
      </c>
      <c r="E40" s="7">
        <v>4000</v>
      </c>
      <c r="F40" s="7">
        <v>1.4</v>
      </c>
      <c r="G40" s="7">
        <v>0.45</v>
      </c>
      <c r="H40" s="7">
        <v>0.6</v>
      </c>
      <c r="I40" s="7">
        <f t="shared" si="38"/>
        <v>2.5</v>
      </c>
      <c r="J40" s="7">
        <f t="shared" si="39"/>
        <v>0.5</v>
      </c>
      <c r="K40" s="8">
        <f t="shared" si="8"/>
        <v>0.29999999999999993</v>
      </c>
      <c r="L40" s="9">
        <f t="shared" si="9"/>
        <v>1199.9999999999998</v>
      </c>
      <c r="M40" s="8">
        <f t="shared" si="10"/>
        <v>2.5</v>
      </c>
      <c r="N40" s="8">
        <f t="shared" si="11"/>
        <v>10.000000000000002</v>
      </c>
      <c r="O40" s="8">
        <f t="shared" si="12"/>
        <v>3.333333333333333</v>
      </c>
      <c r="P40" s="25"/>
      <c r="Q40" s="25"/>
      <c r="R40" s="25"/>
      <c r="S40" s="7" t="s">
        <v>22</v>
      </c>
      <c r="T40" s="7">
        <v>2800</v>
      </c>
      <c r="U40" s="7">
        <v>0.65</v>
      </c>
      <c r="V40" s="7">
        <v>0.4</v>
      </c>
      <c r="W40" s="7">
        <v>0.7</v>
      </c>
      <c r="X40" s="7">
        <f t="shared" si="33"/>
        <v>2.1428571428571428</v>
      </c>
      <c r="Y40" s="7">
        <v>0.6</v>
      </c>
      <c r="Z40" s="8">
        <f t="shared" si="34"/>
        <v>0.59999999999999987</v>
      </c>
      <c r="AA40" s="9">
        <f t="shared" si="35"/>
        <v>1679.9999999999995</v>
      </c>
      <c r="AB40" s="8">
        <f t="shared" si="36"/>
        <v>2.1428571428571428</v>
      </c>
      <c r="AC40" s="8">
        <f t="shared" si="4"/>
        <v>5.0000000000000009</v>
      </c>
      <c r="AD40" s="8">
        <f t="shared" si="5"/>
        <v>3.75</v>
      </c>
      <c r="AE40" s="25"/>
      <c r="AF40" s="25"/>
      <c r="AG40" s="25"/>
      <c r="AH40" s="7" t="s">
        <v>22</v>
      </c>
      <c r="AI40" s="7">
        <v>2040</v>
      </c>
      <c r="AJ40" s="7">
        <v>0.75</v>
      </c>
      <c r="AK40" s="7">
        <v>0.35</v>
      </c>
      <c r="AL40" s="7">
        <v>0.7</v>
      </c>
      <c r="AM40" s="7">
        <f t="shared" si="37"/>
        <v>2.1428571428571428</v>
      </c>
      <c r="AN40" s="7">
        <v>0.5</v>
      </c>
      <c r="AO40" s="8">
        <f t="shared" si="13"/>
        <v>0.7</v>
      </c>
      <c r="AP40" s="9">
        <f t="shared" si="14"/>
        <v>1428</v>
      </c>
      <c r="AQ40" s="8">
        <f t="shared" si="15"/>
        <v>2.1428571428571428</v>
      </c>
      <c r="AR40" s="8">
        <f t="shared" si="16"/>
        <v>5</v>
      </c>
      <c r="AS40" s="8">
        <f t="shared" si="17"/>
        <v>4.2857142857142856</v>
      </c>
    </row>
    <row r="41" spans="1:45" ht="15.75" customHeight="1" x14ac:dyDescent="0.25">
      <c r="A41" s="25"/>
      <c r="B41" s="25"/>
      <c r="C41" s="29"/>
      <c r="D41" s="7" t="s">
        <v>22</v>
      </c>
      <c r="E41" s="7">
        <v>4300</v>
      </c>
      <c r="F41" s="7">
        <v>1.4</v>
      </c>
      <c r="G41" s="16">
        <v>0.45</v>
      </c>
      <c r="H41" s="7">
        <v>0.65</v>
      </c>
      <c r="I41" s="7">
        <f t="shared" si="38"/>
        <v>2.3076923076923075</v>
      </c>
      <c r="J41" s="7">
        <v>0.7</v>
      </c>
      <c r="K41" s="8">
        <f t="shared" si="8"/>
        <v>0.4</v>
      </c>
      <c r="L41" s="9">
        <f t="shared" si="9"/>
        <v>1720</v>
      </c>
      <c r="M41" s="8">
        <f t="shared" si="10"/>
        <v>2.3076923076923075</v>
      </c>
      <c r="N41" s="8">
        <f t="shared" si="11"/>
        <v>7.5</v>
      </c>
      <c r="O41" s="8">
        <f t="shared" si="12"/>
        <v>3.333333333333333</v>
      </c>
      <c r="P41" s="25"/>
      <c r="Q41" s="25"/>
      <c r="R41" s="25"/>
      <c r="S41" s="7" t="s">
        <v>23</v>
      </c>
      <c r="T41" s="7">
        <v>3200</v>
      </c>
      <c r="U41" s="7">
        <v>0.7</v>
      </c>
      <c r="V41" s="7">
        <v>0.4</v>
      </c>
      <c r="W41" s="7">
        <v>0.7</v>
      </c>
      <c r="X41" s="7">
        <f t="shared" si="33"/>
        <v>2.1428571428571428</v>
      </c>
      <c r="Y41" s="7">
        <v>0.68</v>
      </c>
      <c r="Z41" s="8">
        <f t="shared" si="34"/>
        <v>0.59999999999999987</v>
      </c>
      <c r="AA41" s="9">
        <f t="shared" si="35"/>
        <v>1919.9999999999995</v>
      </c>
      <c r="AB41" s="8">
        <f t="shared" si="36"/>
        <v>2.1428571428571428</v>
      </c>
      <c r="AC41" s="8">
        <f t="shared" si="4"/>
        <v>5.0000000000000009</v>
      </c>
      <c r="AD41" s="8">
        <f t="shared" si="5"/>
        <v>3.75</v>
      </c>
      <c r="AE41" s="25"/>
      <c r="AF41" s="25"/>
      <c r="AG41" s="25"/>
      <c r="AH41" s="7" t="s">
        <v>23</v>
      </c>
      <c r="AI41" s="7">
        <v>3400</v>
      </c>
      <c r="AJ41" s="7">
        <v>0.8</v>
      </c>
      <c r="AK41" s="7">
        <v>0.4</v>
      </c>
      <c r="AL41" s="7">
        <v>0.75</v>
      </c>
      <c r="AM41" s="7">
        <f t="shared" si="37"/>
        <v>2</v>
      </c>
      <c r="AN41" s="7">
        <v>0.6</v>
      </c>
      <c r="AO41" s="8">
        <f t="shared" si="13"/>
        <v>0.7</v>
      </c>
      <c r="AP41" s="9">
        <f t="shared" si="14"/>
        <v>2380</v>
      </c>
      <c r="AQ41" s="8">
        <f t="shared" si="15"/>
        <v>2</v>
      </c>
      <c r="AR41" s="8">
        <f t="shared" si="16"/>
        <v>4.2857142857142856</v>
      </c>
      <c r="AS41" s="8">
        <f t="shared" si="17"/>
        <v>3.75</v>
      </c>
    </row>
    <row r="42" spans="1:45" ht="15.75" customHeight="1" x14ac:dyDescent="0.25">
      <c r="A42" s="25"/>
      <c r="B42" s="25"/>
      <c r="C42" s="29"/>
      <c r="D42" s="7" t="s">
        <v>23</v>
      </c>
      <c r="E42" s="7">
        <v>4600</v>
      </c>
      <c r="F42" s="7">
        <v>1.4</v>
      </c>
      <c r="G42" s="16">
        <v>0.45</v>
      </c>
      <c r="H42" s="7">
        <v>0.65</v>
      </c>
      <c r="I42" s="7">
        <f t="shared" si="38"/>
        <v>2.3076923076923075</v>
      </c>
      <c r="J42" s="7">
        <v>0.8</v>
      </c>
      <c r="K42" s="8">
        <f t="shared" si="8"/>
        <v>0.4</v>
      </c>
      <c r="L42" s="9">
        <f t="shared" si="9"/>
        <v>1840</v>
      </c>
      <c r="M42" s="8">
        <f t="shared" si="10"/>
        <v>2.3076923076923075</v>
      </c>
      <c r="N42" s="8">
        <f t="shared" si="11"/>
        <v>7.5</v>
      </c>
      <c r="O42" s="8">
        <f t="shared" si="12"/>
        <v>3.333333333333333</v>
      </c>
      <c r="P42" s="25"/>
      <c r="Q42" s="25"/>
      <c r="R42" s="25"/>
      <c r="S42" s="7" t="s">
        <v>24</v>
      </c>
      <c r="T42" s="7">
        <v>2000</v>
      </c>
      <c r="U42" s="7">
        <v>0.65</v>
      </c>
      <c r="V42" s="7">
        <v>0.3</v>
      </c>
      <c r="W42" s="7">
        <v>0.55000000000000004</v>
      </c>
      <c r="X42" s="7">
        <f t="shared" si="33"/>
        <v>2.7272727272727271</v>
      </c>
      <c r="Y42" s="7">
        <v>0.48</v>
      </c>
      <c r="Z42" s="8">
        <f t="shared" si="34"/>
        <v>0.50000000000000011</v>
      </c>
      <c r="AA42" s="9">
        <f t="shared" si="35"/>
        <v>1000.0000000000002</v>
      </c>
      <c r="AB42" s="8">
        <f t="shared" si="36"/>
        <v>2.7272727272727271</v>
      </c>
      <c r="AC42" s="8">
        <f t="shared" si="4"/>
        <v>5.9999999999999982</v>
      </c>
      <c r="AD42" s="8">
        <f t="shared" si="5"/>
        <v>5</v>
      </c>
      <c r="AE42" s="25"/>
      <c r="AF42" s="25"/>
      <c r="AG42" s="25"/>
      <c r="AH42" s="7" t="s">
        <v>24</v>
      </c>
      <c r="AI42" s="7">
        <v>2200</v>
      </c>
      <c r="AJ42" s="7">
        <v>0.6</v>
      </c>
      <c r="AK42" s="7">
        <v>0.35</v>
      </c>
      <c r="AL42" s="7">
        <v>0.6</v>
      </c>
      <c r="AM42" s="7">
        <f t="shared" si="37"/>
        <v>2.5</v>
      </c>
      <c r="AN42" s="15">
        <v>0.5</v>
      </c>
      <c r="AO42" s="8">
        <f t="shared" si="13"/>
        <v>0.5</v>
      </c>
      <c r="AP42" s="9">
        <f t="shared" si="14"/>
        <v>1100</v>
      </c>
      <c r="AQ42" s="8">
        <f t="shared" si="15"/>
        <v>2.5</v>
      </c>
      <c r="AR42" s="8">
        <f t="shared" si="16"/>
        <v>4.2857142857142856</v>
      </c>
      <c r="AS42" s="8">
        <f t="shared" si="17"/>
        <v>4.2857142857142856</v>
      </c>
    </row>
    <row r="43" spans="1:45" ht="15.75" customHeight="1" x14ac:dyDescent="0.25">
      <c r="A43" s="25"/>
      <c r="B43" s="25"/>
      <c r="C43" s="29"/>
      <c r="D43" s="7" t="s">
        <v>24</v>
      </c>
      <c r="E43" s="7">
        <v>3500</v>
      </c>
      <c r="F43" s="12">
        <v>1</v>
      </c>
      <c r="G43" s="7">
        <v>0.4</v>
      </c>
      <c r="H43" s="7">
        <v>0.6</v>
      </c>
      <c r="I43" s="7">
        <f t="shared" si="38"/>
        <v>2.5</v>
      </c>
      <c r="J43" s="7">
        <v>0.55000000000000004</v>
      </c>
      <c r="K43" s="8">
        <f t="shared" si="8"/>
        <v>0.39999999999999991</v>
      </c>
      <c r="L43" s="9">
        <f t="shared" si="9"/>
        <v>1399.9999999999998</v>
      </c>
      <c r="M43" s="8">
        <f t="shared" si="10"/>
        <v>2.5</v>
      </c>
      <c r="N43" s="8">
        <f t="shared" si="11"/>
        <v>7.5000000000000018</v>
      </c>
      <c r="O43" s="8">
        <f t="shared" si="12"/>
        <v>3.75</v>
      </c>
      <c r="P43" s="25"/>
      <c r="Q43" s="25"/>
      <c r="R43" s="25"/>
      <c r="S43" s="7" t="s">
        <v>25</v>
      </c>
      <c r="T43" s="7">
        <v>1600</v>
      </c>
      <c r="U43" s="7">
        <v>0.6</v>
      </c>
      <c r="V43" s="7">
        <v>0.3</v>
      </c>
      <c r="W43" s="7">
        <v>0.5</v>
      </c>
      <c r="X43" s="7">
        <f t="shared" si="33"/>
        <v>3</v>
      </c>
      <c r="Y43" s="7">
        <v>0.5</v>
      </c>
      <c r="Z43" s="8">
        <f t="shared" si="34"/>
        <v>0.4</v>
      </c>
      <c r="AA43" s="9">
        <f t="shared" si="35"/>
        <v>640</v>
      </c>
      <c r="AB43" s="8">
        <f t="shared" si="36"/>
        <v>3</v>
      </c>
      <c r="AC43" s="8">
        <f t="shared" si="4"/>
        <v>7.5</v>
      </c>
      <c r="AD43" s="8">
        <f t="shared" si="5"/>
        <v>5</v>
      </c>
      <c r="AE43" s="25"/>
      <c r="AF43" s="25"/>
      <c r="AG43" s="25"/>
      <c r="AH43" s="7" t="s">
        <v>25</v>
      </c>
      <c r="AI43" s="7">
        <v>6000</v>
      </c>
      <c r="AJ43" s="7">
        <v>1.2</v>
      </c>
      <c r="AK43" s="7">
        <v>0.45</v>
      </c>
      <c r="AL43" s="7">
        <v>0.8</v>
      </c>
      <c r="AM43" s="7">
        <f t="shared" si="37"/>
        <v>1.875</v>
      </c>
      <c r="AN43" s="7">
        <v>0.8</v>
      </c>
      <c r="AO43" s="8">
        <f t="shared" si="13"/>
        <v>0.70000000000000007</v>
      </c>
      <c r="AP43" s="9">
        <f t="shared" si="14"/>
        <v>4200</v>
      </c>
      <c r="AQ43" s="8">
        <f t="shared" si="15"/>
        <v>1.875</v>
      </c>
      <c r="AR43" s="8">
        <f t="shared" si="16"/>
        <v>6</v>
      </c>
      <c r="AS43" s="8">
        <f t="shared" si="17"/>
        <v>3.333333333333333</v>
      </c>
    </row>
    <row r="44" spans="1:45" ht="15.75" customHeight="1" x14ac:dyDescent="0.25">
      <c r="A44" s="25"/>
      <c r="B44" s="25"/>
      <c r="C44" s="29"/>
      <c r="D44" s="7" t="s">
        <v>25</v>
      </c>
      <c r="E44" s="7">
        <v>2500</v>
      </c>
      <c r="F44" s="13">
        <v>1</v>
      </c>
      <c r="G44" s="7">
        <v>0.35</v>
      </c>
      <c r="H44" s="7">
        <v>0.6</v>
      </c>
      <c r="I44" s="7">
        <f t="shared" si="38"/>
        <v>2.5</v>
      </c>
      <c r="J44" s="7">
        <v>0.65</v>
      </c>
      <c r="K44" s="8">
        <f t="shared" si="8"/>
        <v>0.5</v>
      </c>
      <c r="L44" s="9">
        <f t="shared" si="9"/>
        <v>1250</v>
      </c>
      <c r="M44" s="8">
        <f t="shared" si="10"/>
        <v>2.5</v>
      </c>
      <c r="N44" s="8">
        <f t="shared" si="11"/>
        <v>6</v>
      </c>
      <c r="O44" s="8">
        <f t="shared" si="12"/>
        <v>4.2857142857142856</v>
      </c>
      <c r="P44" s="25"/>
      <c r="Q44" s="25"/>
      <c r="R44" s="25"/>
      <c r="S44" s="7" t="s">
        <v>26</v>
      </c>
      <c r="T44" s="7">
        <v>1600</v>
      </c>
      <c r="U44" s="7">
        <v>0.6</v>
      </c>
      <c r="V44" s="7">
        <v>0.3</v>
      </c>
      <c r="W44" s="7">
        <v>0.5</v>
      </c>
      <c r="X44" s="7">
        <f t="shared" si="33"/>
        <v>3</v>
      </c>
      <c r="Y44" s="12">
        <v>0.65</v>
      </c>
      <c r="Z44" s="8">
        <f t="shared" si="34"/>
        <v>0.4</v>
      </c>
      <c r="AA44" s="9">
        <f t="shared" si="35"/>
        <v>640</v>
      </c>
      <c r="AB44" s="8">
        <f t="shared" si="36"/>
        <v>3</v>
      </c>
      <c r="AC44" s="8">
        <f t="shared" si="4"/>
        <v>7.5</v>
      </c>
      <c r="AD44" s="8">
        <f t="shared" si="5"/>
        <v>5</v>
      </c>
      <c r="AE44" s="25"/>
      <c r="AF44" s="25"/>
      <c r="AG44" s="25"/>
      <c r="AH44" s="7" t="s">
        <v>26</v>
      </c>
      <c r="AI44" s="7">
        <v>6000</v>
      </c>
      <c r="AJ44" s="7">
        <v>1.2</v>
      </c>
      <c r="AK44" s="7">
        <v>0.45</v>
      </c>
      <c r="AL44" s="7">
        <v>0.8</v>
      </c>
      <c r="AM44" s="7">
        <f t="shared" si="37"/>
        <v>1.875</v>
      </c>
      <c r="AN44" s="7">
        <v>0.8</v>
      </c>
      <c r="AO44" s="8">
        <f t="shared" si="13"/>
        <v>0.70000000000000007</v>
      </c>
      <c r="AP44" s="9">
        <f t="shared" si="14"/>
        <v>4200</v>
      </c>
      <c r="AQ44" s="8">
        <f t="shared" si="15"/>
        <v>1.875</v>
      </c>
      <c r="AR44" s="8">
        <f t="shared" si="16"/>
        <v>4.2857142857142856</v>
      </c>
      <c r="AS44" s="8">
        <f t="shared" si="17"/>
        <v>3.333333333333333</v>
      </c>
    </row>
    <row r="45" spans="1:45" ht="15.75" customHeight="1" x14ac:dyDescent="0.25">
      <c r="A45" s="25"/>
      <c r="B45" s="25"/>
      <c r="C45" s="29"/>
      <c r="D45" s="7" t="s">
        <v>26</v>
      </c>
      <c r="E45" s="7">
        <v>1160</v>
      </c>
      <c r="F45" s="13">
        <v>1</v>
      </c>
      <c r="G45" s="7">
        <v>0.3</v>
      </c>
      <c r="H45" s="7">
        <v>0.6</v>
      </c>
      <c r="I45" s="7">
        <f t="shared" si="38"/>
        <v>2.5</v>
      </c>
      <c r="J45" s="7">
        <f>500/1000</f>
        <v>0.5</v>
      </c>
      <c r="K45" s="8">
        <f t="shared" si="8"/>
        <v>0.6</v>
      </c>
      <c r="L45" s="9">
        <f t="shared" si="9"/>
        <v>696</v>
      </c>
      <c r="M45" s="8">
        <f t="shared" si="10"/>
        <v>2.5</v>
      </c>
      <c r="N45" s="8">
        <f t="shared" si="11"/>
        <v>5</v>
      </c>
      <c r="O45" s="8">
        <f t="shared" si="12"/>
        <v>5</v>
      </c>
      <c r="P45" s="25"/>
      <c r="Q45" s="25"/>
      <c r="R45" s="25"/>
      <c r="S45" s="32" t="s">
        <v>27</v>
      </c>
      <c r="T45" s="33"/>
      <c r="U45" s="33"/>
      <c r="V45" s="33"/>
      <c r="W45" s="33"/>
      <c r="X45" s="33"/>
      <c r="Y45" s="34"/>
      <c r="Z45" s="8">
        <f t="shared" si="34"/>
        <v>0</v>
      </c>
      <c r="AA45" s="9">
        <f t="shared" si="35"/>
        <v>0</v>
      </c>
      <c r="AC45" s="8" t="e">
        <f t="shared" si="4"/>
        <v>#DIV/0!</v>
      </c>
      <c r="AD45" s="8" t="e">
        <f t="shared" si="5"/>
        <v>#DIV/0!</v>
      </c>
      <c r="AE45" s="25"/>
      <c r="AF45" s="25"/>
      <c r="AG45" s="25"/>
      <c r="AH45" s="32" t="s">
        <v>27</v>
      </c>
      <c r="AI45" s="33"/>
      <c r="AJ45" s="33"/>
      <c r="AK45" s="33"/>
      <c r="AL45" s="33"/>
      <c r="AM45" s="33"/>
      <c r="AN45" s="34"/>
      <c r="AO45" s="8">
        <f t="shared" si="13"/>
        <v>0</v>
      </c>
      <c r="AP45" s="9">
        <f t="shared" si="14"/>
        <v>0</v>
      </c>
      <c r="AQ45" s="8" t="e">
        <f t="shared" si="15"/>
        <v>#DIV/0!</v>
      </c>
      <c r="AR45" s="8">
        <f t="shared" si="16"/>
        <v>4.2857142857142856</v>
      </c>
      <c r="AS45" s="8" t="e">
        <f t="shared" si="17"/>
        <v>#DIV/0!</v>
      </c>
    </row>
    <row r="46" spans="1:45" ht="15.75" customHeight="1" x14ac:dyDescent="0.25">
      <c r="A46" s="25"/>
      <c r="B46" s="25"/>
      <c r="C46" s="29"/>
      <c r="D46" s="32" t="s">
        <v>27</v>
      </c>
      <c r="E46" s="33"/>
      <c r="F46" s="33"/>
      <c r="G46" s="33"/>
      <c r="H46" s="33"/>
      <c r="I46" s="33"/>
      <c r="J46" s="34"/>
      <c r="K46" s="8">
        <f t="shared" si="8"/>
        <v>0</v>
      </c>
      <c r="L46" s="9">
        <f t="shared" si="9"/>
        <v>0</v>
      </c>
      <c r="M46" s="8" t="e">
        <f t="shared" si="10"/>
        <v>#DIV/0!</v>
      </c>
      <c r="N46" s="8" t="e">
        <f t="shared" si="11"/>
        <v>#DIV/0!</v>
      </c>
      <c r="O46" s="8" t="e">
        <f t="shared" si="12"/>
        <v>#DIV/0!</v>
      </c>
      <c r="P46" s="25"/>
      <c r="Q46" s="25"/>
      <c r="R46" s="25"/>
      <c r="S46" s="7" t="s">
        <v>16</v>
      </c>
      <c r="T46" s="7">
        <v>2200</v>
      </c>
      <c r="U46" s="7">
        <v>0.6</v>
      </c>
      <c r="V46" s="7">
        <v>0.35</v>
      </c>
      <c r="W46" s="7">
        <v>0.55000000000000004</v>
      </c>
      <c r="X46" s="7">
        <f t="shared" ref="X46:X52" si="40">1.5/W46</f>
        <v>2.7272727272727271</v>
      </c>
      <c r="Y46" s="7">
        <v>0.45</v>
      </c>
      <c r="Z46" s="8">
        <f t="shared" si="34"/>
        <v>0.40000000000000013</v>
      </c>
      <c r="AA46" s="9">
        <f t="shared" si="35"/>
        <v>880.00000000000034</v>
      </c>
      <c r="AB46" s="8">
        <f t="shared" ref="AB46:AB52" si="41">(1.5/W46)</f>
        <v>2.7272727272727271</v>
      </c>
      <c r="AC46" s="8">
        <f t="shared" si="4"/>
        <v>7.4999999999999973</v>
      </c>
      <c r="AD46" s="8">
        <f t="shared" si="5"/>
        <v>4.2857142857142856</v>
      </c>
      <c r="AE46" s="25"/>
      <c r="AF46" s="25"/>
      <c r="AG46" s="25"/>
      <c r="AH46" s="7" t="s">
        <v>16</v>
      </c>
      <c r="AI46" s="7">
        <v>1600</v>
      </c>
      <c r="AJ46" s="7">
        <v>0.72</v>
      </c>
      <c r="AK46" s="7">
        <v>0.45</v>
      </c>
      <c r="AL46" s="7">
        <v>0.6</v>
      </c>
      <c r="AM46" s="7">
        <f t="shared" ref="AM46:AM52" si="42">1.5/AL46</f>
        <v>2.5</v>
      </c>
      <c r="AN46" s="12">
        <v>0.48</v>
      </c>
      <c r="AO46" s="8">
        <f t="shared" si="13"/>
        <v>0.29999999999999993</v>
      </c>
      <c r="AP46" s="9">
        <f t="shared" si="14"/>
        <v>479.99999999999989</v>
      </c>
      <c r="AQ46" s="8">
        <f t="shared" si="15"/>
        <v>2.5</v>
      </c>
      <c r="AR46" s="8" t="e">
        <f t="shared" si="16"/>
        <v>#DIV/0!</v>
      </c>
      <c r="AS46" s="8">
        <f t="shared" si="17"/>
        <v>3.333333333333333</v>
      </c>
    </row>
    <row r="47" spans="1:45" ht="15.75" customHeight="1" x14ac:dyDescent="0.3">
      <c r="A47" s="25"/>
      <c r="B47" s="25"/>
      <c r="C47" s="29"/>
      <c r="D47" s="7" t="s">
        <v>16</v>
      </c>
      <c r="E47" s="7">
        <v>2000</v>
      </c>
      <c r="F47" s="11">
        <v>0.6</v>
      </c>
      <c r="G47" s="7">
        <v>0.3</v>
      </c>
      <c r="H47" s="7">
        <v>0.65</v>
      </c>
      <c r="I47" s="7">
        <f t="shared" ref="I47:I52" si="43">1.5/H47</f>
        <v>2.3076923076923075</v>
      </c>
      <c r="J47" s="7">
        <v>0.55000000000000004</v>
      </c>
      <c r="K47" s="8">
        <f t="shared" si="8"/>
        <v>0.70000000000000007</v>
      </c>
      <c r="L47" s="9">
        <f t="shared" si="9"/>
        <v>1400.0000000000002</v>
      </c>
      <c r="M47" s="8">
        <f t="shared" si="10"/>
        <v>2.3076923076923075</v>
      </c>
      <c r="N47" s="8">
        <f t="shared" si="11"/>
        <v>4.2857142857142856</v>
      </c>
      <c r="O47" s="8">
        <f t="shared" si="12"/>
        <v>5</v>
      </c>
      <c r="P47" s="25"/>
      <c r="Q47" s="25"/>
      <c r="R47" s="25"/>
      <c r="S47" s="7" t="s">
        <v>19</v>
      </c>
      <c r="T47" s="7">
        <v>2400</v>
      </c>
      <c r="U47" s="7">
        <v>0.65</v>
      </c>
      <c r="V47" s="7">
        <v>0.45</v>
      </c>
      <c r="W47" s="7">
        <v>0.5</v>
      </c>
      <c r="X47" s="7">
        <f t="shared" si="40"/>
        <v>3</v>
      </c>
      <c r="Y47" s="7">
        <v>0.44</v>
      </c>
      <c r="Z47" s="8">
        <f t="shared" si="34"/>
        <v>9.9999999999999978E-2</v>
      </c>
      <c r="AA47" s="9">
        <f t="shared" si="35"/>
        <v>239.99999999999994</v>
      </c>
      <c r="AB47" s="8">
        <f t="shared" si="41"/>
        <v>3</v>
      </c>
      <c r="AC47" s="8">
        <f t="shared" si="4"/>
        <v>30.000000000000007</v>
      </c>
      <c r="AD47" s="8">
        <f t="shared" si="5"/>
        <v>3.333333333333333</v>
      </c>
      <c r="AE47" s="25"/>
      <c r="AF47" s="25"/>
      <c r="AG47" s="25"/>
      <c r="AH47" s="7" t="s">
        <v>19</v>
      </c>
      <c r="AI47" s="7">
        <v>1200</v>
      </c>
      <c r="AJ47" s="7">
        <v>0.64</v>
      </c>
      <c r="AK47" s="7">
        <v>0.3</v>
      </c>
      <c r="AL47" s="7">
        <v>0.6</v>
      </c>
      <c r="AM47" s="7">
        <f t="shared" si="42"/>
        <v>2.5</v>
      </c>
      <c r="AN47" s="7">
        <v>0.4</v>
      </c>
      <c r="AO47" s="8">
        <f t="shared" si="13"/>
        <v>0.6</v>
      </c>
      <c r="AP47" s="9">
        <f t="shared" si="14"/>
        <v>720</v>
      </c>
      <c r="AQ47" s="8">
        <f t="shared" si="15"/>
        <v>2.5</v>
      </c>
      <c r="AR47" s="8">
        <f t="shared" si="16"/>
        <v>10.000000000000002</v>
      </c>
      <c r="AS47" s="8">
        <f t="shared" si="17"/>
        <v>5</v>
      </c>
    </row>
    <row r="48" spans="1:45" ht="15.75" customHeight="1" x14ac:dyDescent="0.3">
      <c r="A48" s="25"/>
      <c r="B48" s="25"/>
      <c r="C48" s="29"/>
      <c r="D48" s="7" t="s">
        <v>19</v>
      </c>
      <c r="E48" s="7">
        <v>2200</v>
      </c>
      <c r="F48" s="11">
        <v>0.6</v>
      </c>
      <c r="G48" s="7">
        <v>0.3</v>
      </c>
      <c r="H48" s="7">
        <v>0.6</v>
      </c>
      <c r="I48" s="7">
        <f t="shared" si="43"/>
        <v>2.5</v>
      </c>
      <c r="J48" s="7">
        <v>0.55000000000000004</v>
      </c>
      <c r="K48" s="8">
        <f t="shared" si="8"/>
        <v>0.6</v>
      </c>
      <c r="L48" s="9">
        <f t="shared" si="9"/>
        <v>1320</v>
      </c>
      <c r="M48" s="8">
        <f t="shared" si="10"/>
        <v>2.5</v>
      </c>
      <c r="N48" s="8">
        <f t="shared" si="11"/>
        <v>5</v>
      </c>
      <c r="O48" s="8">
        <f t="shared" si="12"/>
        <v>5</v>
      </c>
      <c r="P48" s="25"/>
      <c r="Q48" s="25"/>
      <c r="R48" s="25"/>
      <c r="S48" s="7" t="s">
        <v>22</v>
      </c>
      <c r="T48" s="7">
        <v>1000</v>
      </c>
      <c r="U48" s="7">
        <v>0.6</v>
      </c>
      <c r="V48" s="7">
        <v>0.3</v>
      </c>
      <c r="W48" s="7">
        <v>0.45</v>
      </c>
      <c r="X48" s="7">
        <f t="shared" si="40"/>
        <v>3.333333333333333</v>
      </c>
      <c r="Y48" s="7">
        <v>0.48</v>
      </c>
      <c r="Z48" s="8">
        <f t="shared" si="34"/>
        <v>0.30000000000000004</v>
      </c>
      <c r="AA48" s="9">
        <f t="shared" si="35"/>
        <v>300.00000000000006</v>
      </c>
      <c r="AB48" s="8">
        <f t="shared" si="41"/>
        <v>3.333333333333333</v>
      </c>
      <c r="AC48" s="8">
        <f t="shared" si="4"/>
        <v>9.9999999999999982</v>
      </c>
      <c r="AD48" s="8">
        <f t="shared" si="5"/>
        <v>5</v>
      </c>
      <c r="AE48" s="25"/>
      <c r="AF48" s="25"/>
      <c r="AG48" s="25"/>
      <c r="AH48" s="7" t="s">
        <v>22</v>
      </c>
      <c r="AI48" s="7">
        <v>1200</v>
      </c>
      <c r="AJ48" s="7">
        <v>0.64</v>
      </c>
      <c r="AK48" s="7">
        <v>0.3</v>
      </c>
      <c r="AL48" s="7">
        <v>0.6</v>
      </c>
      <c r="AM48" s="7">
        <f t="shared" si="42"/>
        <v>2.5</v>
      </c>
      <c r="AN48" s="7">
        <f>400/1000</f>
        <v>0.4</v>
      </c>
      <c r="AO48" s="8">
        <f t="shared" si="13"/>
        <v>0.6</v>
      </c>
      <c r="AP48" s="9">
        <f t="shared" si="14"/>
        <v>720</v>
      </c>
      <c r="AQ48" s="8">
        <f t="shared" si="15"/>
        <v>2.5</v>
      </c>
      <c r="AR48" s="8">
        <f t="shared" si="16"/>
        <v>5</v>
      </c>
      <c r="AS48" s="8">
        <f t="shared" si="17"/>
        <v>5</v>
      </c>
    </row>
    <row r="49" spans="1:45" ht="15.75" customHeight="1" x14ac:dyDescent="0.3">
      <c r="A49" s="25"/>
      <c r="B49" s="25"/>
      <c r="C49" s="29"/>
      <c r="D49" s="7" t="s">
        <v>22</v>
      </c>
      <c r="E49" s="7">
        <v>24000</v>
      </c>
      <c r="F49" s="11">
        <v>0.7</v>
      </c>
      <c r="G49" s="7">
        <v>0.3</v>
      </c>
      <c r="H49" s="7">
        <v>0.6</v>
      </c>
      <c r="I49" s="7">
        <f t="shared" si="43"/>
        <v>2.5</v>
      </c>
      <c r="J49" s="7">
        <v>0.65</v>
      </c>
      <c r="K49" s="8">
        <f t="shared" si="8"/>
        <v>0.6</v>
      </c>
      <c r="L49" s="9">
        <f t="shared" si="9"/>
        <v>14400</v>
      </c>
      <c r="M49" s="8">
        <f t="shared" si="10"/>
        <v>2.5</v>
      </c>
      <c r="N49" s="8">
        <f t="shared" si="11"/>
        <v>5</v>
      </c>
      <c r="O49" s="8">
        <f t="shared" si="12"/>
        <v>5</v>
      </c>
      <c r="P49" s="25"/>
      <c r="Q49" s="25"/>
      <c r="R49" s="25"/>
      <c r="S49" s="7" t="s">
        <v>23</v>
      </c>
      <c r="T49" s="12">
        <v>1340</v>
      </c>
      <c r="U49" s="7">
        <v>0.6</v>
      </c>
      <c r="V49" s="7">
        <v>0.45</v>
      </c>
      <c r="W49" s="7">
        <v>0.5</v>
      </c>
      <c r="X49" s="7">
        <f t="shared" si="40"/>
        <v>3</v>
      </c>
      <c r="Y49" s="7">
        <v>0.44</v>
      </c>
      <c r="Z49" s="8">
        <f t="shared" si="34"/>
        <v>9.9999999999999978E-2</v>
      </c>
      <c r="AA49" s="9">
        <f t="shared" si="35"/>
        <v>133.99999999999997</v>
      </c>
      <c r="AB49" s="8">
        <f t="shared" si="41"/>
        <v>3</v>
      </c>
      <c r="AC49" s="8">
        <f t="shared" si="4"/>
        <v>30.000000000000007</v>
      </c>
      <c r="AD49" s="8">
        <f t="shared" si="5"/>
        <v>3.333333333333333</v>
      </c>
      <c r="AE49" s="25"/>
      <c r="AF49" s="25"/>
      <c r="AG49" s="25"/>
      <c r="AH49" s="7" t="s">
        <v>23</v>
      </c>
      <c r="AI49" s="7">
        <v>1600</v>
      </c>
      <c r="AJ49" s="7">
        <v>0.72</v>
      </c>
      <c r="AK49" s="7">
        <v>0.35</v>
      </c>
      <c r="AL49" s="7">
        <v>0.6</v>
      </c>
      <c r="AM49" s="7">
        <f t="shared" si="42"/>
        <v>2.5</v>
      </c>
      <c r="AN49" s="7">
        <v>0.48</v>
      </c>
      <c r="AO49" s="8">
        <f t="shared" si="13"/>
        <v>0.5</v>
      </c>
      <c r="AP49" s="9">
        <f t="shared" si="14"/>
        <v>800</v>
      </c>
      <c r="AQ49" s="8">
        <f t="shared" si="15"/>
        <v>2.5</v>
      </c>
      <c r="AR49" s="8">
        <f t="shared" si="16"/>
        <v>5</v>
      </c>
      <c r="AS49" s="8">
        <f t="shared" si="17"/>
        <v>4.2857142857142856</v>
      </c>
    </row>
    <row r="50" spans="1:45" ht="15.75" customHeight="1" x14ac:dyDescent="0.3">
      <c r="A50" s="25"/>
      <c r="B50" s="25"/>
      <c r="C50" s="29"/>
      <c r="D50" s="7" t="s">
        <v>23</v>
      </c>
      <c r="E50" s="7">
        <v>4500</v>
      </c>
      <c r="F50" s="11">
        <v>0.8</v>
      </c>
      <c r="G50" s="7">
        <v>0.45</v>
      </c>
      <c r="H50" s="7">
        <v>0.63</v>
      </c>
      <c r="I50" s="7">
        <f t="shared" si="43"/>
        <v>2.3809523809523809</v>
      </c>
      <c r="J50" s="7">
        <v>0.65</v>
      </c>
      <c r="K50" s="8">
        <f t="shared" si="8"/>
        <v>0.36</v>
      </c>
      <c r="L50" s="9">
        <f t="shared" si="9"/>
        <v>1620</v>
      </c>
      <c r="M50" s="8">
        <f t="shared" si="10"/>
        <v>2.3809523809523809</v>
      </c>
      <c r="N50" s="8">
        <f t="shared" si="11"/>
        <v>8.3333333333333339</v>
      </c>
      <c r="O50" s="8">
        <f t="shared" si="12"/>
        <v>3.333333333333333</v>
      </c>
      <c r="P50" s="25"/>
      <c r="Q50" s="25"/>
      <c r="R50" s="25"/>
      <c r="S50" s="7" t="s">
        <v>24</v>
      </c>
      <c r="T50" s="7">
        <v>2300</v>
      </c>
      <c r="U50" s="7">
        <v>0.65</v>
      </c>
      <c r="V50" s="7">
        <v>0.35</v>
      </c>
      <c r="W50" s="7">
        <v>0.42</v>
      </c>
      <c r="X50" s="7">
        <f t="shared" si="40"/>
        <v>3.5714285714285716</v>
      </c>
      <c r="Y50" s="7">
        <v>0.45</v>
      </c>
      <c r="Z50" s="8">
        <f t="shared" si="34"/>
        <v>0.14000000000000001</v>
      </c>
      <c r="AA50" s="9">
        <f t="shared" si="35"/>
        <v>322.00000000000006</v>
      </c>
      <c r="AB50" s="8">
        <f t="shared" si="41"/>
        <v>3.5714285714285716</v>
      </c>
      <c r="AC50" s="8">
        <f t="shared" si="4"/>
        <v>21.428571428571427</v>
      </c>
      <c r="AD50" s="8">
        <f t="shared" si="5"/>
        <v>4.2857142857142856</v>
      </c>
      <c r="AE50" s="25"/>
      <c r="AF50" s="25"/>
      <c r="AG50" s="25"/>
      <c r="AH50" s="7" t="s">
        <v>24</v>
      </c>
      <c r="AI50" s="7">
        <v>1200</v>
      </c>
      <c r="AJ50" s="7">
        <v>0.64</v>
      </c>
      <c r="AK50" s="7">
        <v>0.3</v>
      </c>
      <c r="AL50" s="7">
        <v>0.6</v>
      </c>
      <c r="AM50" s="7">
        <f t="shared" si="42"/>
        <v>2.5</v>
      </c>
      <c r="AN50" s="7">
        <v>0.4</v>
      </c>
      <c r="AO50" s="8">
        <f t="shared" si="13"/>
        <v>0.6</v>
      </c>
      <c r="AP50" s="9">
        <f t="shared" si="14"/>
        <v>720</v>
      </c>
      <c r="AQ50" s="8">
        <f t="shared" si="15"/>
        <v>2.5</v>
      </c>
      <c r="AR50" s="8">
        <f t="shared" si="16"/>
        <v>6</v>
      </c>
      <c r="AS50" s="8">
        <f t="shared" si="17"/>
        <v>5</v>
      </c>
    </row>
    <row r="51" spans="1:45" ht="15.75" customHeight="1" x14ac:dyDescent="0.3">
      <c r="A51" s="25"/>
      <c r="B51" s="25"/>
      <c r="C51" s="29"/>
      <c r="D51" s="7" t="s">
        <v>24</v>
      </c>
      <c r="E51" s="7">
        <v>4800</v>
      </c>
      <c r="F51" s="11">
        <v>1.2</v>
      </c>
      <c r="G51" s="7">
        <v>0.45</v>
      </c>
      <c r="H51" s="7">
        <v>0.6</v>
      </c>
      <c r="I51" s="7">
        <f t="shared" si="43"/>
        <v>2.5</v>
      </c>
      <c r="J51" s="7">
        <v>0.65</v>
      </c>
      <c r="K51" s="8">
        <f t="shared" si="8"/>
        <v>0.29999999999999993</v>
      </c>
      <c r="L51" s="9">
        <f t="shared" si="9"/>
        <v>1439.9999999999998</v>
      </c>
      <c r="M51" s="8">
        <f t="shared" si="10"/>
        <v>2.5</v>
      </c>
      <c r="N51" s="8">
        <f t="shared" si="11"/>
        <v>10.000000000000002</v>
      </c>
      <c r="O51" s="8">
        <f t="shared" si="12"/>
        <v>3.333333333333333</v>
      </c>
      <c r="P51" s="25"/>
      <c r="Q51" s="25"/>
      <c r="R51" s="25"/>
      <c r="S51" s="7" t="s">
        <v>25</v>
      </c>
      <c r="T51" s="7">
        <v>1140</v>
      </c>
      <c r="U51" s="7">
        <v>0.6</v>
      </c>
      <c r="V51" s="7">
        <v>0.3</v>
      </c>
      <c r="W51" s="7">
        <v>0.6</v>
      </c>
      <c r="X51" s="7">
        <f t="shared" si="40"/>
        <v>2.5</v>
      </c>
      <c r="Y51" s="7">
        <v>0.5</v>
      </c>
      <c r="Z51" s="8">
        <f t="shared" si="34"/>
        <v>0.6</v>
      </c>
      <c r="AA51" s="9">
        <f t="shared" si="35"/>
        <v>684</v>
      </c>
      <c r="AB51" s="8">
        <f t="shared" si="41"/>
        <v>2.5</v>
      </c>
      <c r="AC51" s="8">
        <f t="shared" si="4"/>
        <v>5</v>
      </c>
      <c r="AD51" s="8">
        <f t="shared" si="5"/>
        <v>5</v>
      </c>
      <c r="AE51" s="25"/>
      <c r="AF51" s="25"/>
      <c r="AG51" s="25"/>
      <c r="AH51" s="7" t="s">
        <v>25</v>
      </c>
      <c r="AI51" s="7">
        <v>1400</v>
      </c>
      <c r="AJ51" s="7">
        <v>0.7</v>
      </c>
      <c r="AK51" s="7">
        <v>0.4</v>
      </c>
      <c r="AL51" s="7">
        <v>0.6</v>
      </c>
      <c r="AM51" s="7">
        <f t="shared" si="42"/>
        <v>2.5</v>
      </c>
      <c r="AN51" s="7">
        <v>0.5</v>
      </c>
      <c r="AO51" s="8">
        <f t="shared" si="13"/>
        <v>0.39999999999999991</v>
      </c>
      <c r="AP51" s="9">
        <f t="shared" si="14"/>
        <v>559.99999999999989</v>
      </c>
      <c r="AQ51" s="8">
        <f t="shared" si="15"/>
        <v>2.5</v>
      </c>
      <c r="AR51" s="8">
        <f t="shared" si="16"/>
        <v>5</v>
      </c>
      <c r="AS51" s="8">
        <f t="shared" si="17"/>
        <v>3.75</v>
      </c>
    </row>
    <row r="52" spans="1:45" ht="15.75" customHeight="1" x14ac:dyDescent="0.25">
      <c r="A52" s="26"/>
      <c r="B52" s="26"/>
      <c r="C52" s="30"/>
      <c r="D52" s="7" t="s">
        <v>25</v>
      </c>
      <c r="E52" s="7">
        <v>4800</v>
      </c>
      <c r="F52" s="12">
        <v>1.4</v>
      </c>
      <c r="G52" s="7">
        <v>0.45</v>
      </c>
      <c r="H52" s="7">
        <v>0.6</v>
      </c>
      <c r="I52" s="7">
        <f t="shared" si="43"/>
        <v>2.5</v>
      </c>
      <c r="J52" s="7">
        <v>0.8</v>
      </c>
      <c r="K52" s="8">
        <f t="shared" si="8"/>
        <v>0.29999999999999993</v>
      </c>
      <c r="L52" s="9">
        <f t="shared" si="9"/>
        <v>1439.9999999999998</v>
      </c>
      <c r="M52" s="8">
        <f t="shared" si="10"/>
        <v>2.5</v>
      </c>
      <c r="N52" s="8">
        <f t="shared" si="11"/>
        <v>10.000000000000002</v>
      </c>
      <c r="O52" s="8">
        <f t="shared" si="12"/>
        <v>3.333333333333333</v>
      </c>
      <c r="P52" s="26"/>
      <c r="Q52" s="26"/>
      <c r="R52" s="26"/>
      <c r="S52" s="7" t="s">
        <v>26</v>
      </c>
      <c r="T52" s="7">
        <v>1320</v>
      </c>
      <c r="U52" s="7">
        <v>0.6</v>
      </c>
      <c r="V52" s="7">
        <v>0.3</v>
      </c>
      <c r="W52" s="7">
        <v>0.5</v>
      </c>
      <c r="X52" s="7">
        <f t="shared" si="40"/>
        <v>3</v>
      </c>
      <c r="Y52" s="7">
        <v>0.4</v>
      </c>
      <c r="Z52" s="8">
        <f t="shared" si="34"/>
        <v>0.4</v>
      </c>
      <c r="AA52" s="9">
        <f t="shared" si="35"/>
        <v>528</v>
      </c>
      <c r="AB52" s="8">
        <f t="shared" si="41"/>
        <v>3</v>
      </c>
      <c r="AC52" s="8">
        <f t="shared" si="4"/>
        <v>7.5</v>
      </c>
      <c r="AD52" s="8">
        <f t="shared" si="5"/>
        <v>5</v>
      </c>
      <c r="AE52" s="26"/>
      <c r="AF52" s="26"/>
      <c r="AG52" s="26"/>
      <c r="AH52" s="7" t="s">
        <v>26</v>
      </c>
      <c r="AI52" s="7">
        <v>1200</v>
      </c>
      <c r="AJ52" s="7">
        <v>0.64</v>
      </c>
      <c r="AK52" s="7">
        <v>0.3</v>
      </c>
      <c r="AL52" s="7">
        <v>0.6</v>
      </c>
      <c r="AM52" s="7">
        <f t="shared" si="42"/>
        <v>2.5</v>
      </c>
      <c r="AN52" s="7">
        <v>0.4</v>
      </c>
      <c r="AO52" s="8">
        <f t="shared" si="13"/>
        <v>0.6</v>
      </c>
      <c r="AP52" s="9">
        <f t="shared" si="14"/>
        <v>720</v>
      </c>
      <c r="AQ52" s="8">
        <f t="shared" si="15"/>
        <v>2.5</v>
      </c>
      <c r="AR52" s="8">
        <f t="shared" si="16"/>
        <v>7.5000000000000018</v>
      </c>
      <c r="AS52" s="8">
        <f t="shared" si="17"/>
        <v>5</v>
      </c>
    </row>
    <row r="53" spans="1:45" ht="15.75" customHeight="1" x14ac:dyDescent="0.25">
      <c r="A53" s="24">
        <v>44732</v>
      </c>
      <c r="B53" s="27">
        <v>256</v>
      </c>
      <c r="C53" s="27" t="s">
        <v>17</v>
      </c>
      <c r="D53" s="12" t="s">
        <v>26</v>
      </c>
      <c r="E53" s="17">
        <v>4500</v>
      </c>
      <c r="F53" s="18">
        <v>1.4</v>
      </c>
      <c r="G53" s="12">
        <v>0.45</v>
      </c>
      <c r="H53" s="17">
        <v>0.6</v>
      </c>
      <c r="I53" s="17">
        <v>2.1428571430000001</v>
      </c>
      <c r="J53" s="17">
        <v>0.8</v>
      </c>
      <c r="K53" s="8">
        <f t="shared" si="8"/>
        <v>0.29999999999999993</v>
      </c>
      <c r="L53" s="9">
        <f t="shared" si="9"/>
        <v>1349.9999999999998</v>
      </c>
      <c r="M53" s="8">
        <f t="shared" si="10"/>
        <v>2.5</v>
      </c>
      <c r="N53" s="8">
        <f t="shared" si="11"/>
        <v>10.000000000000002</v>
      </c>
      <c r="O53" s="8">
        <f t="shared" si="12"/>
        <v>3.333333333333333</v>
      </c>
      <c r="P53" s="27" t="s">
        <v>30</v>
      </c>
      <c r="Q53" s="27">
        <v>254</v>
      </c>
      <c r="R53" s="27" t="s">
        <v>18</v>
      </c>
      <c r="S53" s="32" t="s">
        <v>15</v>
      </c>
      <c r="T53" s="33"/>
      <c r="U53" s="33"/>
      <c r="V53" s="33"/>
      <c r="W53" s="33"/>
      <c r="X53" s="33"/>
      <c r="Y53" s="34"/>
      <c r="Z53" s="8">
        <f t="shared" si="34"/>
        <v>0</v>
      </c>
      <c r="AA53" s="9">
        <f t="shared" si="35"/>
        <v>0</v>
      </c>
      <c r="AC53" s="8" t="e">
        <f t="shared" si="4"/>
        <v>#DIV/0!</v>
      </c>
      <c r="AD53" s="8" t="e">
        <f t="shared" si="5"/>
        <v>#DIV/0!</v>
      </c>
      <c r="AE53" s="27" t="s">
        <v>31</v>
      </c>
      <c r="AF53" s="27">
        <v>313</v>
      </c>
      <c r="AG53" s="27" t="s">
        <v>21</v>
      </c>
      <c r="AH53" s="32" t="s">
        <v>15</v>
      </c>
      <c r="AI53" s="33"/>
      <c r="AJ53" s="33"/>
      <c r="AK53" s="33"/>
      <c r="AL53" s="33"/>
      <c r="AM53" s="33"/>
      <c r="AN53" s="34"/>
      <c r="AO53" s="8">
        <f t="shared" si="13"/>
        <v>0</v>
      </c>
      <c r="AP53" s="9">
        <f t="shared" si="14"/>
        <v>0</v>
      </c>
      <c r="AQ53" s="8" t="e">
        <f t="shared" si="15"/>
        <v>#DIV/0!</v>
      </c>
      <c r="AR53" s="8">
        <f t="shared" si="16"/>
        <v>5</v>
      </c>
      <c r="AS53" s="8" t="e">
        <f t="shared" si="17"/>
        <v>#DIV/0!</v>
      </c>
    </row>
    <row r="54" spans="1:45" ht="15.75" customHeight="1" x14ac:dyDescent="0.25">
      <c r="A54" s="25"/>
      <c r="B54" s="25"/>
      <c r="C54" s="25"/>
      <c r="D54" s="32" t="s">
        <v>15</v>
      </c>
      <c r="E54" s="33"/>
      <c r="F54" s="33"/>
      <c r="G54" s="33"/>
      <c r="H54" s="33"/>
      <c r="I54" s="33"/>
      <c r="J54" s="34"/>
      <c r="K54" s="8">
        <f t="shared" si="8"/>
        <v>0</v>
      </c>
      <c r="L54" s="9">
        <f t="shared" si="9"/>
        <v>0</v>
      </c>
      <c r="M54" s="8" t="e">
        <f t="shared" si="10"/>
        <v>#DIV/0!</v>
      </c>
      <c r="N54" s="8" t="e">
        <f t="shared" si="11"/>
        <v>#DIV/0!</v>
      </c>
      <c r="O54" s="8" t="e">
        <f t="shared" si="12"/>
        <v>#DIV/0!</v>
      </c>
      <c r="P54" s="25"/>
      <c r="Q54" s="25"/>
      <c r="R54" s="25"/>
      <c r="S54" s="14" t="s">
        <v>3</v>
      </c>
      <c r="T54" s="14" t="s">
        <v>4</v>
      </c>
      <c r="U54" s="14" t="s">
        <v>5</v>
      </c>
      <c r="V54" s="14" t="s">
        <v>6</v>
      </c>
      <c r="W54" s="14" t="s">
        <v>7</v>
      </c>
      <c r="X54" s="14" t="s">
        <v>8</v>
      </c>
      <c r="Y54" s="14" t="s">
        <v>10</v>
      </c>
      <c r="AA54" s="9"/>
      <c r="AC54" s="8" t="e">
        <f t="shared" si="4"/>
        <v>#VALUE!</v>
      </c>
      <c r="AD54" s="8" t="e">
        <f t="shared" si="5"/>
        <v>#VALUE!</v>
      </c>
      <c r="AE54" s="25"/>
      <c r="AF54" s="25"/>
      <c r="AG54" s="25"/>
      <c r="AH54" s="14" t="s">
        <v>3</v>
      </c>
      <c r="AI54" s="14" t="s">
        <v>4</v>
      </c>
      <c r="AJ54" s="14" t="s">
        <v>5</v>
      </c>
      <c r="AK54" s="14" t="s">
        <v>6</v>
      </c>
      <c r="AL54" s="14" t="s">
        <v>7</v>
      </c>
      <c r="AM54" s="14" t="s">
        <v>8</v>
      </c>
      <c r="AN54" s="14" t="s">
        <v>10</v>
      </c>
      <c r="AO54" s="8" t="e">
        <f t="shared" si="13"/>
        <v>#VALUE!</v>
      </c>
      <c r="AP54" s="9" t="e">
        <f t="shared" si="14"/>
        <v>#VALUE!</v>
      </c>
      <c r="AQ54" s="8" t="e">
        <f t="shared" si="15"/>
        <v>#VALUE!</v>
      </c>
      <c r="AR54" s="8" t="e">
        <f t="shared" si="16"/>
        <v>#DIV/0!</v>
      </c>
      <c r="AS54" s="8" t="e">
        <f t="shared" si="17"/>
        <v>#VALUE!</v>
      </c>
    </row>
    <row r="55" spans="1:45" ht="15.75" customHeight="1" x14ac:dyDescent="0.25">
      <c r="A55" s="25"/>
      <c r="B55" s="25"/>
      <c r="C55" s="25"/>
      <c r="D55" s="14" t="s">
        <v>3</v>
      </c>
      <c r="E55" s="14" t="s">
        <v>4</v>
      </c>
      <c r="F55" s="14" t="s">
        <v>5</v>
      </c>
      <c r="G55" s="14" t="s">
        <v>6</v>
      </c>
      <c r="H55" s="14" t="s">
        <v>7</v>
      </c>
      <c r="I55" s="14" t="s">
        <v>8</v>
      </c>
      <c r="J55" s="14" t="s">
        <v>10</v>
      </c>
      <c r="K55" s="8" t="e">
        <f t="shared" si="8"/>
        <v>#VALUE!</v>
      </c>
      <c r="L55" s="9" t="e">
        <f t="shared" si="9"/>
        <v>#VALUE!</v>
      </c>
      <c r="M55" s="8" t="e">
        <f t="shared" si="10"/>
        <v>#VALUE!</v>
      </c>
      <c r="N55" s="8" t="e">
        <f t="shared" si="11"/>
        <v>#VALUE!</v>
      </c>
      <c r="O55" s="8" t="e">
        <f t="shared" si="12"/>
        <v>#VALUE!</v>
      </c>
      <c r="P55" s="25"/>
      <c r="Q55" s="25"/>
      <c r="R55" s="25"/>
      <c r="S55" s="7" t="s">
        <v>16</v>
      </c>
      <c r="T55" s="7">
        <v>1080</v>
      </c>
      <c r="U55" s="7">
        <v>0.6</v>
      </c>
      <c r="V55" s="7">
        <v>0.32</v>
      </c>
      <c r="W55" s="7">
        <v>0.55000000000000004</v>
      </c>
      <c r="X55" s="7">
        <f t="shared" ref="X55:X61" si="44">1.5/W55</f>
        <v>2.7272727272727271</v>
      </c>
      <c r="Y55" s="7">
        <v>0.6</v>
      </c>
      <c r="Z55" s="8">
        <f t="shared" ref="Z55:Z71" si="45">(W55-V55)*2</f>
        <v>0.46000000000000008</v>
      </c>
      <c r="AA55" s="9">
        <f t="shared" ref="AA55:AA71" si="46">((W55-V55)*T55)*2</f>
        <v>496.80000000000007</v>
      </c>
      <c r="AB55" s="8">
        <f t="shared" ref="AB55:AB61" si="47">(1.5/W55)</f>
        <v>2.7272727272727271</v>
      </c>
      <c r="AC55" s="8">
        <f t="shared" si="4"/>
        <v>6.5217391304347814</v>
      </c>
      <c r="AD55" s="8">
        <f t="shared" si="5"/>
        <v>4.6875</v>
      </c>
      <c r="AE55" s="25"/>
      <c r="AF55" s="25"/>
      <c r="AG55" s="25"/>
      <c r="AH55" s="7" t="s">
        <v>16</v>
      </c>
      <c r="AI55" s="7">
        <v>1840</v>
      </c>
      <c r="AJ55" s="7">
        <v>1.4</v>
      </c>
      <c r="AK55" s="7">
        <v>0.3</v>
      </c>
      <c r="AL55" s="7">
        <v>0.6</v>
      </c>
      <c r="AM55" s="7">
        <f t="shared" ref="AM55:AM61" si="48">1.5/AL55</f>
        <v>2.5</v>
      </c>
      <c r="AN55" s="7">
        <v>0.4</v>
      </c>
      <c r="AO55" s="8">
        <f t="shared" si="13"/>
        <v>0.6</v>
      </c>
      <c r="AP55" s="9">
        <f t="shared" si="14"/>
        <v>1104</v>
      </c>
      <c r="AQ55" s="8">
        <f t="shared" si="15"/>
        <v>2.5</v>
      </c>
      <c r="AR55" s="8" t="e">
        <f t="shared" si="16"/>
        <v>#VALUE!</v>
      </c>
      <c r="AS55" s="8">
        <f t="shared" si="17"/>
        <v>5</v>
      </c>
    </row>
    <row r="56" spans="1:45" ht="15.75" customHeight="1" x14ac:dyDescent="0.3">
      <c r="A56" s="25"/>
      <c r="B56" s="25"/>
      <c r="C56" s="25"/>
      <c r="D56" s="7" t="s">
        <v>16</v>
      </c>
      <c r="E56" s="7">
        <v>1200</v>
      </c>
      <c r="F56" s="11">
        <v>0.6</v>
      </c>
      <c r="G56" s="7">
        <v>0.3</v>
      </c>
      <c r="H56" s="10">
        <v>0.6</v>
      </c>
      <c r="I56" s="7">
        <f t="shared" ref="I56:I62" si="49">1.5/H56</f>
        <v>2.5</v>
      </c>
      <c r="J56" s="7">
        <v>0.6</v>
      </c>
      <c r="K56" s="8">
        <f t="shared" si="8"/>
        <v>0.6</v>
      </c>
      <c r="L56" s="9">
        <f t="shared" si="9"/>
        <v>720</v>
      </c>
      <c r="M56" s="8">
        <f t="shared" si="10"/>
        <v>2.5</v>
      </c>
      <c r="N56" s="8">
        <f t="shared" si="11"/>
        <v>5</v>
      </c>
      <c r="O56" s="8">
        <f t="shared" si="12"/>
        <v>5</v>
      </c>
      <c r="P56" s="25"/>
      <c r="Q56" s="25"/>
      <c r="R56" s="25"/>
      <c r="S56" s="7" t="s">
        <v>19</v>
      </c>
      <c r="T56" s="7">
        <v>1400</v>
      </c>
      <c r="U56" s="7">
        <v>0.6</v>
      </c>
      <c r="V56" s="7">
        <v>0.4</v>
      </c>
      <c r="W56" s="7">
        <v>0.5</v>
      </c>
      <c r="X56" s="7">
        <f t="shared" si="44"/>
        <v>3</v>
      </c>
      <c r="Y56" s="7">
        <v>0.6</v>
      </c>
      <c r="Z56" s="8">
        <f t="shared" si="45"/>
        <v>0.19999999999999996</v>
      </c>
      <c r="AA56" s="9">
        <f t="shared" si="46"/>
        <v>279.99999999999994</v>
      </c>
      <c r="AB56" s="8">
        <f t="shared" si="47"/>
        <v>3</v>
      </c>
      <c r="AC56" s="8">
        <f t="shared" si="4"/>
        <v>15.000000000000004</v>
      </c>
      <c r="AD56" s="8">
        <f t="shared" si="5"/>
        <v>3.75</v>
      </c>
      <c r="AE56" s="25"/>
      <c r="AF56" s="25"/>
      <c r="AG56" s="25"/>
      <c r="AH56" s="7" t="s">
        <v>19</v>
      </c>
      <c r="AI56" s="7">
        <v>2720</v>
      </c>
      <c r="AJ56" s="7">
        <v>1.4</v>
      </c>
      <c r="AK56" s="7">
        <v>0.45</v>
      </c>
      <c r="AL56" s="7">
        <v>0.8</v>
      </c>
      <c r="AM56" s="7">
        <f t="shared" si="48"/>
        <v>1.875</v>
      </c>
      <c r="AN56" s="7">
        <v>0.45</v>
      </c>
      <c r="AO56" s="8">
        <f t="shared" si="13"/>
        <v>0.70000000000000007</v>
      </c>
      <c r="AP56" s="9">
        <f t="shared" si="14"/>
        <v>1904.0000000000002</v>
      </c>
      <c r="AQ56" s="8">
        <f t="shared" si="15"/>
        <v>1.875</v>
      </c>
      <c r="AR56" s="8">
        <f t="shared" si="16"/>
        <v>5</v>
      </c>
      <c r="AS56" s="8">
        <f t="shared" si="17"/>
        <v>3.333333333333333</v>
      </c>
    </row>
    <row r="57" spans="1:45" ht="15.75" customHeight="1" x14ac:dyDescent="0.3">
      <c r="A57" s="25"/>
      <c r="B57" s="25"/>
      <c r="C57" s="25"/>
      <c r="D57" s="7" t="s">
        <v>19</v>
      </c>
      <c r="E57" s="7">
        <v>3200</v>
      </c>
      <c r="F57" s="11">
        <v>0.65</v>
      </c>
      <c r="G57" s="7">
        <v>0.35</v>
      </c>
      <c r="H57" s="7">
        <v>0.7</v>
      </c>
      <c r="I57" s="7">
        <f t="shared" si="49"/>
        <v>2.1428571428571428</v>
      </c>
      <c r="J57" s="7">
        <v>0.6</v>
      </c>
      <c r="K57" s="8">
        <f t="shared" si="8"/>
        <v>0.7</v>
      </c>
      <c r="L57" s="9">
        <f t="shared" si="9"/>
        <v>2240</v>
      </c>
      <c r="M57" s="8">
        <f t="shared" si="10"/>
        <v>2.1428571428571428</v>
      </c>
      <c r="N57" s="8">
        <f t="shared" si="11"/>
        <v>4.2857142857142856</v>
      </c>
      <c r="O57" s="8">
        <f t="shared" si="12"/>
        <v>4.2857142857142856</v>
      </c>
      <c r="P57" s="25"/>
      <c r="Q57" s="25"/>
      <c r="R57" s="25"/>
      <c r="S57" s="7" t="s">
        <v>22</v>
      </c>
      <c r="T57" s="7">
        <v>1600</v>
      </c>
      <c r="U57" s="7">
        <v>0.6</v>
      </c>
      <c r="V57" s="7">
        <v>0.8</v>
      </c>
      <c r="W57" s="7">
        <v>0.55000000000000004</v>
      </c>
      <c r="X57" s="7">
        <f t="shared" si="44"/>
        <v>2.7272727272727271</v>
      </c>
      <c r="Y57" s="7">
        <v>0.65</v>
      </c>
      <c r="Z57" s="8">
        <f t="shared" si="45"/>
        <v>-0.5</v>
      </c>
      <c r="AA57" s="9">
        <f t="shared" si="46"/>
        <v>-800</v>
      </c>
      <c r="AB57" s="8">
        <f t="shared" si="47"/>
        <v>2.7272727272727271</v>
      </c>
      <c r="AC57" s="8">
        <f t="shared" si="4"/>
        <v>-6</v>
      </c>
      <c r="AD57" s="8">
        <f t="shared" si="5"/>
        <v>1.875</v>
      </c>
      <c r="AE57" s="25"/>
      <c r="AF57" s="25"/>
      <c r="AG57" s="25"/>
      <c r="AH57" s="7" t="s">
        <v>22</v>
      </c>
      <c r="AI57" s="7">
        <v>2028</v>
      </c>
      <c r="AJ57" s="7">
        <v>1.4</v>
      </c>
      <c r="AK57" s="7">
        <v>0.4</v>
      </c>
      <c r="AL57" s="7">
        <v>0.75</v>
      </c>
      <c r="AM57" s="7">
        <f t="shared" si="48"/>
        <v>2</v>
      </c>
      <c r="AN57" s="15">
        <f>440/1000</f>
        <v>0.44</v>
      </c>
      <c r="AO57" s="8">
        <f t="shared" si="13"/>
        <v>0.7</v>
      </c>
      <c r="AP57" s="9">
        <f t="shared" si="14"/>
        <v>1419.6</v>
      </c>
      <c r="AQ57" s="8">
        <f t="shared" si="15"/>
        <v>2</v>
      </c>
      <c r="AR57" s="8">
        <f t="shared" si="16"/>
        <v>4.2857142857142856</v>
      </c>
      <c r="AS57" s="8">
        <f t="shared" si="17"/>
        <v>3.75</v>
      </c>
    </row>
    <row r="58" spans="1:45" ht="15.75" customHeight="1" x14ac:dyDescent="0.3">
      <c r="A58" s="25"/>
      <c r="B58" s="25"/>
      <c r="C58" s="25"/>
      <c r="D58" s="7" t="s">
        <v>22</v>
      </c>
      <c r="E58" s="7">
        <v>4800</v>
      </c>
      <c r="F58" s="11">
        <v>0.6</v>
      </c>
      <c r="G58" s="7">
        <v>0.3</v>
      </c>
      <c r="H58" s="7">
        <v>0.73</v>
      </c>
      <c r="I58" s="7">
        <f t="shared" si="49"/>
        <v>2.0547945205479454</v>
      </c>
      <c r="J58" s="7">
        <v>0.6</v>
      </c>
      <c r="K58" s="8">
        <f t="shared" si="8"/>
        <v>0.86</v>
      </c>
      <c r="L58" s="9">
        <f t="shared" si="9"/>
        <v>4128</v>
      </c>
      <c r="M58" s="8">
        <f t="shared" si="10"/>
        <v>2.0547945205479454</v>
      </c>
      <c r="N58" s="8">
        <f t="shared" si="11"/>
        <v>3.4883720930232558</v>
      </c>
      <c r="O58" s="8">
        <f t="shared" si="12"/>
        <v>5</v>
      </c>
      <c r="P58" s="25"/>
      <c r="Q58" s="25"/>
      <c r="R58" s="25"/>
      <c r="S58" s="7" t="s">
        <v>23</v>
      </c>
      <c r="T58" s="7">
        <v>1360</v>
      </c>
      <c r="U58" s="7">
        <v>0.6</v>
      </c>
      <c r="V58" s="7">
        <v>0.4</v>
      </c>
      <c r="W58" s="7">
        <v>0.5</v>
      </c>
      <c r="X58" s="7">
        <f t="shared" si="44"/>
        <v>3</v>
      </c>
      <c r="Y58" s="7">
        <v>0.65</v>
      </c>
      <c r="Z58" s="8">
        <f t="shared" si="45"/>
        <v>0.19999999999999996</v>
      </c>
      <c r="AA58" s="9">
        <f t="shared" si="46"/>
        <v>271.99999999999994</v>
      </c>
      <c r="AB58" s="8">
        <f t="shared" si="47"/>
        <v>3</v>
      </c>
      <c r="AC58" s="8">
        <f t="shared" si="4"/>
        <v>15.000000000000004</v>
      </c>
      <c r="AD58" s="8">
        <f t="shared" si="5"/>
        <v>3.75</v>
      </c>
      <c r="AE58" s="25"/>
      <c r="AF58" s="25"/>
      <c r="AG58" s="25"/>
      <c r="AH58" s="7" t="s">
        <v>23</v>
      </c>
      <c r="AI58" s="7">
        <v>1040</v>
      </c>
      <c r="AJ58" s="7">
        <v>1.4</v>
      </c>
      <c r="AK58" s="7">
        <v>0.3</v>
      </c>
      <c r="AL58" s="7">
        <v>0.6</v>
      </c>
      <c r="AM58" s="7">
        <f t="shared" si="48"/>
        <v>2.5</v>
      </c>
      <c r="AN58" s="7">
        <v>0.4</v>
      </c>
      <c r="AO58" s="8">
        <f t="shared" si="13"/>
        <v>0.6</v>
      </c>
      <c r="AP58" s="9">
        <f t="shared" si="14"/>
        <v>624</v>
      </c>
      <c r="AQ58" s="8">
        <f t="shared" si="15"/>
        <v>2.5</v>
      </c>
      <c r="AR58" s="8">
        <f t="shared" si="16"/>
        <v>4.2857142857142856</v>
      </c>
      <c r="AS58" s="8">
        <f t="shared" si="17"/>
        <v>5</v>
      </c>
    </row>
    <row r="59" spans="1:45" ht="15.75" customHeight="1" x14ac:dyDescent="0.3">
      <c r="A59" s="25"/>
      <c r="B59" s="25"/>
      <c r="C59" s="25"/>
      <c r="D59" s="7" t="s">
        <v>23</v>
      </c>
      <c r="E59" s="7">
        <v>6000</v>
      </c>
      <c r="F59" s="11">
        <v>0.7</v>
      </c>
      <c r="G59" s="7">
        <v>0.35</v>
      </c>
      <c r="H59" s="7">
        <v>0.9</v>
      </c>
      <c r="I59" s="7">
        <f t="shared" si="49"/>
        <v>1.6666666666666665</v>
      </c>
      <c r="J59" s="7">
        <v>0.6</v>
      </c>
      <c r="K59" s="8">
        <f t="shared" si="8"/>
        <v>1.1000000000000001</v>
      </c>
      <c r="L59" s="9">
        <f t="shared" si="9"/>
        <v>6600.0000000000009</v>
      </c>
      <c r="M59" s="8">
        <f t="shared" si="10"/>
        <v>1.6666666666666665</v>
      </c>
      <c r="N59" s="8">
        <f t="shared" si="11"/>
        <v>2.7272727272727271</v>
      </c>
      <c r="O59" s="8">
        <f t="shared" si="12"/>
        <v>4.2857142857142856</v>
      </c>
      <c r="P59" s="25"/>
      <c r="Q59" s="25"/>
      <c r="R59" s="25"/>
      <c r="S59" s="7" t="s">
        <v>24</v>
      </c>
      <c r="T59" s="7">
        <v>1360</v>
      </c>
      <c r="U59" s="7">
        <v>0.6</v>
      </c>
      <c r="V59" s="7">
        <v>0.4</v>
      </c>
      <c r="W59" s="7">
        <v>0.5</v>
      </c>
      <c r="X59" s="7">
        <f t="shared" si="44"/>
        <v>3</v>
      </c>
      <c r="Y59" s="7">
        <v>0.65</v>
      </c>
      <c r="Z59" s="8">
        <f t="shared" si="45"/>
        <v>0.19999999999999996</v>
      </c>
      <c r="AA59" s="9">
        <f t="shared" si="46"/>
        <v>271.99999999999994</v>
      </c>
      <c r="AB59" s="8">
        <f t="shared" si="47"/>
        <v>3</v>
      </c>
      <c r="AC59" s="8">
        <f t="shared" si="4"/>
        <v>15.000000000000004</v>
      </c>
      <c r="AD59" s="8">
        <f t="shared" si="5"/>
        <v>3.75</v>
      </c>
      <c r="AE59" s="25"/>
      <c r="AF59" s="25"/>
      <c r="AG59" s="25"/>
      <c r="AH59" s="7" t="s">
        <v>24</v>
      </c>
      <c r="AI59" s="7">
        <v>1360</v>
      </c>
      <c r="AJ59" s="7">
        <v>1.4</v>
      </c>
      <c r="AK59" s="7">
        <v>0.3</v>
      </c>
      <c r="AL59" s="7">
        <v>0.6</v>
      </c>
      <c r="AM59" s="7">
        <f t="shared" si="48"/>
        <v>2.5</v>
      </c>
      <c r="AN59" s="7">
        <f>920/1000</f>
        <v>0.92</v>
      </c>
      <c r="AO59" s="8">
        <f t="shared" si="13"/>
        <v>0.6</v>
      </c>
      <c r="AP59" s="9">
        <f t="shared" si="14"/>
        <v>816</v>
      </c>
      <c r="AQ59" s="8">
        <f t="shared" si="15"/>
        <v>2.5</v>
      </c>
      <c r="AR59" s="8">
        <f t="shared" si="16"/>
        <v>5</v>
      </c>
      <c r="AS59" s="8">
        <f t="shared" si="17"/>
        <v>5</v>
      </c>
    </row>
    <row r="60" spans="1:45" ht="15.75" customHeight="1" x14ac:dyDescent="0.3">
      <c r="A60" s="25"/>
      <c r="B60" s="25"/>
      <c r="C60" s="25"/>
      <c r="D60" s="7" t="s">
        <v>24</v>
      </c>
      <c r="E60" s="7">
        <v>1320</v>
      </c>
      <c r="F60" s="11">
        <v>0.6</v>
      </c>
      <c r="G60" s="7">
        <v>0.4</v>
      </c>
      <c r="H60" s="7">
        <v>0.6</v>
      </c>
      <c r="I60" s="7">
        <f t="shared" si="49"/>
        <v>2.5</v>
      </c>
      <c r="J60" s="7">
        <v>0.55000000000000004</v>
      </c>
      <c r="K60" s="8">
        <f t="shared" si="8"/>
        <v>0.39999999999999991</v>
      </c>
      <c r="L60" s="9">
        <f t="shared" si="9"/>
        <v>527.99999999999989</v>
      </c>
      <c r="M60" s="8">
        <f t="shared" si="10"/>
        <v>2.5</v>
      </c>
      <c r="N60" s="8">
        <f t="shared" si="11"/>
        <v>7.5000000000000018</v>
      </c>
      <c r="O60" s="8">
        <f t="shared" si="12"/>
        <v>3.75</v>
      </c>
      <c r="P60" s="25"/>
      <c r="Q60" s="25"/>
      <c r="R60" s="25"/>
      <c r="S60" s="7" t="s">
        <v>25</v>
      </c>
      <c r="T60" s="7">
        <v>2200</v>
      </c>
      <c r="U60" s="7">
        <v>0.6</v>
      </c>
      <c r="V60" s="7">
        <v>0.3</v>
      </c>
      <c r="W60" s="7">
        <v>0.5</v>
      </c>
      <c r="X60" s="7">
        <f t="shared" si="44"/>
        <v>3</v>
      </c>
      <c r="Y60" s="7">
        <v>0.4</v>
      </c>
      <c r="Z60" s="8">
        <f t="shared" si="45"/>
        <v>0.4</v>
      </c>
      <c r="AA60" s="9">
        <f t="shared" si="46"/>
        <v>880</v>
      </c>
      <c r="AB60" s="8">
        <f t="shared" si="47"/>
        <v>3</v>
      </c>
      <c r="AC60" s="8">
        <f t="shared" si="4"/>
        <v>7.5</v>
      </c>
      <c r="AD60" s="8">
        <f t="shared" si="5"/>
        <v>5</v>
      </c>
      <c r="AE60" s="25"/>
      <c r="AF60" s="25"/>
      <c r="AG60" s="25"/>
      <c r="AH60" s="7" t="s">
        <v>25</v>
      </c>
      <c r="AI60" s="7">
        <v>2240</v>
      </c>
      <c r="AJ60" s="7">
        <v>1.4</v>
      </c>
      <c r="AK60" s="7">
        <v>0.4</v>
      </c>
      <c r="AL60" s="7">
        <v>0.65</v>
      </c>
      <c r="AM60" s="7">
        <f t="shared" si="48"/>
        <v>2.3076923076923075</v>
      </c>
      <c r="AN60" s="15">
        <f>440/1000</f>
        <v>0.44</v>
      </c>
      <c r="AO60" s="8">
        <f t="shared" si="13"/>
        <v>0.5</v>
      </c>
      <c r="AP60" s="9">
        <f t="shared" si="14"/>
        <v>1120</v>
      </c>
      <c r="AQ60" s="8">
        <f t="shared" si="15"/>
        <v>2.3076923076923075</v>
      </c>
      <c r="AR60" s="8">
        <f t="shared" si="16"/>
        <v>5</v>
      </c>
      <c r="AS60" s="8">
        <f t="shared" si="17"/>
        <v>3.75</v>
      </c>
    </row>
    <row r="61" spans="1:45" ht="15.75" customHeight="1" x14ac:dyDescent="0.3">
      <c r="A61" s="25"/>
      <c r="B61" s="25"/>
      <c r="C61" s="25"/>
      <c r="D61" s="7" t="s">
        <v>25</v>
      </c>
      <c r="E61" s="7">
        <v>1440</v>
      </c>
      <c r="F61" s="11">
        <v>0.7</v>
      </c>
      <c r="G61" s="7">
        <v>0.3</v>
      </c>
      <c r="H61" s="7">
        <v>0.6</v>
      </c>
      <c r="I61" s="7">
        <f t="shared" si="49"/>
        <v>2.5</v>
      </c>
      <c r="J61" s="7">
        <v>0.55000000000000004</v>
      </c>
      <c r="K61" s="8">
        <f t="shared" si="8"/>
        <v>0.6</v>
      </c>
      <c r="L61" s="9">
        <f t="shared" si="9"/>
        <v>864</v>
      </c>
      <c r="M61" s="8">
        <f t="shared" si="10"/>
        <v>2.5</v>
      </c>
      <c r="N61" s="8">
        <f t="shared" si="11"/>
        <v>5</v>
      </c>
      <c r="O61" s="8">
        <f t="shared" si="12"/>
        <v>5</v>
      </c>
      <c r="P61" s="25"/>
      <c r="Q61" s="25"/>
      <c r="R61" s="25"/>
      <c r="S61" s="7" t="s">
        <v>26</v>
      </c>
      <c r="T61" s="7">
        <v>4800</v>
      </c>
      <c r="U61" s="7">
        <v>0.7</v>
      </c>
      <c r="V61" s="7">
        <v>0.35</v>
      </c>
      <c r="W61" s="7">
        <v>0.5</v>
      </c>
      <c r="X61" s="7">
        <f t="shared" si="44"/>
        <v>3</v>
      </c>
      <c r="Y61" s="7">
        <v>0.4</v>
      </c>
      <c r="Z61" s="8">
        <f t="shared" si="45"/>
        <v>0.30000000000000004</v>
      </c>
      <c r="AA61" s="9">
        <f t="shared" si="46"/>
        <v>1440.0000000000002</v>
      </c>
      <c r="AB61" s="8">
        <f t="shared" si="47"/>
        <v>3</v>
      </c>
      <c r="AC61" s="8">
        <f t="shared" si="4"/>
        <v>9.9999999999999982</v>
      </c>
      <c r="AD61" s="8">
        <f t="shared" si="5"/>
        <v>4.2857142857142856</v>
      </c>
      <c r="AE61" s="25"/>
      <c r="AF61" s="25"/>
      <c r="AG61" s="25"/>
      <c r="AH61" s="7" t="s">
        <v>26</v>
      </c>
      <c r="AI61" s="7">
        <v>2000</v>
      </c>
      <c r="AJ61" s="7">
        <v>1.4</v>
      </c>
      <c r="AK61" s="7">
        <v>0.4</v>
      </c>
      <c r="AL61" s="7">
        <v>0.65</v>
      </c>
      <c r="AM61" s="7">
        <f t="shared" si="48"/>
        <v>2.3076923076923075</v>
      </c>
      <c r="AN61" s="7">
        <v>0.4</v>
      </c>
      <c r="AO61" s="8">
        <f t="shared" si="13"/>
        <v>0.5</v>
      </c>
      <c r="AP61" s="9">
        <f t="shared" si="14"/>
        <v>1000</v>
      </c>
      <c r="AQ61" s="8">
        <f t="shared" si="15"/>
        <v>2.3076923076923075</v>
      </c>
      <c r="AR61" s="8">
        <f t="shared" si="16"/>
        <v>6</v>
      </c>
      <c r="AS61" s="8">
        <f t="shared" si="17"/>
        <v>3.75</v>
      </c>
    </row>
    <row r="62" spans="1:45" ht="15.75" customHeight="1" x14ac:dyDescent="0.3">
      <c r="A62" s="25"/>
      <c r="B62" s="25"/>
      <c r="C62" s="25"/>
      <c r="D62" s="7" t="s">
        <v>26</v>
      </c>
      <c r="E62" s="7">
        <v>1440</v>
      </c>
      <c r="F62" s="11">
        <v>0.7</v>
      </c>
      <c r="G62" s="7">
        <v>0.4</v>
      </c>
      <c r="H62" s="7">
        <v>0.6</v>
      </c>
      <c r="I62" s="7">
        <f t="shared" si="49"/>
        <v>2.5</v>
      </c>
      <c r="J62" s="7">
        <v>0.5</v>
      </c>
      <c r="K62" s="8">
        <f t="shared" si="8"/>
        <v>0.39999999999999991</v>
      </c>
      <c r="L62" s="9">
        <f t="shared" si="9"/>
        <v>575.99999999999989</v>
      </c>
      <c r="M62" s="8">
        <f t="shared" si="10"/>
        <v>2.5</v>
      </c>
      <c r="N62" s="8">
        <f t="shared" si="11"/>
        <v>7.5000000000000018</v>
      </c>
      <c r="O62" s="8">
        <f t="shared" si="12"/>
        <v>3.75</v>
      </c>
      <c r="P62" s="25"/>
      <c r="Q62" s="25"/>
      <c r="R62" s="25"/>
      <c r="S62" s="32" t="s">
        <v>27</v>
      </c>
      <c r="T62" s="33"/>
      <c r="U62" s="33"/>
      <c r="V62" s="33"/>
      <c r="W62" s="33"/>
      <c r="X62" s="33"/>
      <c r="Y62" s="34"/>
      <c r="Z62" s="8">
        <f t="shared" si="45"/>
        <v>0</v>
      </c>
      <c r="AA62" s="9">
        <f t="shared" si="46"/>
        <v>0</v>
      </c>
      <c r="AC62" s="8" t="e">
        <f t="shared" si="4"/>
        <v>#DIV/0!</v>
      </c>
      <c r="AD62" s="8" t="e">
        <f t="shared" si="5"/>
        <v>#DIV/0!</v>
      </c>
      <c r="AE62" s="25"/>
      <c r="AF62" s="25"/>
      <c r="AG62" s="25"/>
      <c r="AH62" s="32" t="s">
        <v>27</v>
      </c>
      <c r="AI62" s="33"/>
      <c r="AJ62" s="33"/>
      <c r="AK62" s="33"/>
      <c r="AL62" s="33"/>
      <c r="AM62" s="33"/>
      <c r="AN62" s="34"/>
      <c r="AO62" s="8">
        <f t="shared" si="13"/>
        <v>0</v>
      </c>
      <c r="AP62" s="9">
        <f t="shared" si="14"/>
        <v>0</v>
      </c>
      <c r="AQ62" s="8" t="e">
        <f t="shared" si="15"/>
        <v>#DIV/0!</v>
      </c>
      <c r="AR62" s="8">
        <f t="shared" si="16"/>
        <v>6</v>
      </c>
      <c r="AS62" s="8" t="e">
        <f t="shared" si="17"/>
        <v>#DIV/0!</v>
      </c>
    </row>
    <row r="63" spans="1:45" ht="15.75" customHeight="1" x14ac:dyDescent="0.25">
      <c r="A63" s="25"/>
      <c r="B63" s="25"/>
      <c r="C63" s="25"/>
      <c r="D63" s="32" t="s">
        <v>27</v>
      </c>
      <c r="E63" s="33"/>
      <c r="F63" s="33"/>
      <c r="G63" s="33"/>
      <c r="H63" s="33"/>
      <c r="I63" s="33"/>
      <c r="J63" s="34"/>
      <c r="K63" s="8">
        <f t="shared" si="8"/>
        <v>0</v>
      </c>
      <c r="L63" s="9">
        <f t="shared" si="9"/>
        <v>0</v>
      </c>
      <c r="M63" s="8" t="e">
        <f t="shared" si="10"/>
        <v>#DIV/0!</v>
      </c>
      <c r="N63" s="8" t="e">
        <f t="shared" si="11"/>
        <v>#DIV/0!</v>
      </c>
      <c r="O63" s="8" t="e">
        <f t="shared" si="12"/>
        <v>#DIV/0!</v>
      </c>
      <c r="P63" s="25"/>
      <c r="Q63" s="25"/>
      <c r="R63" s="25"/>
      <c r="S63" s="7" t="s">
        <v>16</v>
      </c>
      <c r="T63" s="7">
        <v>1080</v>
      </c>
      <c r="U63" s="7">
        <v>0.6</v>
      </c>
      <c r="V63" s="7">
        <v>0.32</v>
      </c>
      <c r="W63" s="7">
        <v>0.55000000000000004</v>
      </c>
      <c r="X63" s="7">
        <f t="shared" ref="X63:X69" si="50">1.5/W63</f>
        <v>2.7272727272727271</v>
      </c>
      <c r="Y63" s="7">
        <v>0.6</v>
      </c>
      <c r="Z63" s="8">
        <f t="shared" si="45"/>
        <v>0.46000000000000008</v>
      </c>
      <c r="AA63" s="9">
        <f t="shared" si="46"/>
        <v>496.80000000000007</v>
      </c>
      <c r="AB63" s="8">
        <f t="shared" ref="AB63:AB69" si="51">(1.5/W63)</f>
        <v>2.7272727272727271</v>
      </c>
      <c r="AC63" s="8">
        <f t="shared" si="4"/>
        <v>6.5217391304347814</v>
      </c>
      <c r="AD63" s="8">
        <f t="shared" si="5"/>
        <v>4.6875</v>
      </c>
      <c r="AE63" s="25"/>
      <c r="AF63" s="25"/>
      <c r="AG63" s="25"/>
      <c r="AH63" s="7" t="s">
        <v>16</v>
      </c>
      <c r="AI63" s="7">
        <v>6000</v>
      </c>
      <c r="AJ63" s="7">
        <v>1.4</v>
      </c>
      <c r="AK63" s="7">
        <v>0.45</v>
      </c>
      <c r="AL63" s="7">
        <v>1</v>
      </c>
      <c r="AM63" s="7">
        <f t="shared" ref="AM63:AM69" si="52">1.5/AL63</f>
        <v>1.5</v>
      </c>
      <c r="AN63" s="7">
        <v>0.9</v>
      </c>
      <c r="AO63" s="8">
        <f t="shared" si="13"/>
        <v>1.1000000000000001</v>
      </c>
      <c r="AP63" s="9">
        <f t="shared" si="14"/>
        <v>6600.0000000000009</v>
      </c>
      <c r="AQ63" s="8">
        <f t="shared" si="15"/>
        <v>1.5</v>
      </c>
      <c r="AR63" s="8" t="e">
        <f t="shared" si="16"/>
        <v>#DIV/0!</v>
      </c>
      <c r="AS63" s="8">
        <f t="shared" si="17"/>
        <v>3.333333333333333</v>
      </c>
    </row>
    <row r="64" spans="1:45" ht="15.75" customHeight="1" x14ac:dyDescent="0.3">
      <c r="A64" s="25"/>
      <c r="B64" s="25"/>
      <c r="C64" s="25"/>
      <c r="D64" s="7" t="s">
        <v>16</v>
      </c>
      <c r="E64" s="7">
        <v>6000</v>
      </c>
      <c r="F64" s="11">
        <v>0.65</v>
      </c>
      <c r="G64" s="7">
        <v>0.3</v>
      </c>
      <c r="H64" s="10">
        <v>0.9</v>
      </c>
      <c r="I64" s="7">
        <f t="shared" ref="I64:I70" si="53">1.5/H64</f>
        <v>1.6666666666666665</v>
      </c>
      <c r="J64" s="7">
        <v>0.5</v>
      </c>
      <c r="K64" s="8">
        <f t="shared" si="8"/>
        <v>1.2000000000000002</v>
      </c>
      <c r="L64" s="9">
        <f t="shared" si="9"/>
        <v>7200.0000000000009</v>
      </c>
      <c r="M64" s="8">
        <f t="shared" si="10"/>
        <v>1.6666666666666665</v>
      </c>
      <c r="N64" s="8">
        <f t="shared" si="11"/>
        <v>2.4999999999999996</v>
      </c>
      <c r="O64" s="8">
        <f t="shared" si="12"/>
        <v>5</v>
      </c>
      <c r="P64" s="25"/>
      <c r="Q64" s="25"/>
      <c r="R64" s="25"/>
      <c r="S64" s="7" t="s">
        <v>19</v>
      </c>
      <c r="T64" s="7">
        <v>1400</v>
      </c>
      <c r="U64" s="7">
        <v>0.6</v>
      </c>
      <c r="V64" s="7">
        <v>0.4</v>
      </c>
      <c r="W64" s="7">
        <v>0.5</v>
      </c>
      <c r="X64" s="7">
        <f t="shared" si="50"/>
        <v>3</v>
      </c>
      <c r="Y64" s="7">
        <v>0.6</v>
      </c>
      <c r="Z64" s="8">
        <f t="shared" si="45"/>
        <v>0.19999999999999996</v>
      </c>
      <c r="AA64" s="9">
        <f t="shared" si="46"/>
        <v>279.99999999999994</v>
      </c>
      <c r="AB64" s="8">
        <f t="shared" si="51"/>
        <v>3</v>
      </c>
      <c r="AC64" s="8">
        <f t="shared" si="4"/>
        <v>15.000000000000004</v>
      </c>
      <c r="AD64" s="8">
        <f t="shared" si="5"/>
        <v>3.75</v>
      </c>
      <c r="AE64" s="25"/>
      <c r="AF64" s="25"/>
      <c r="AG64" s="25"/>
      <c r="AH64" s="7" t="s">
        <v>19</v>
      </c>
      <c r="AI64" s="7">
        <v>6000</v>
      </c>
      <c r="AJ64" s="7">
        <v>1.4</v>
      </c>
      <c r="AK64" s="7">
        <v>0.45</v>
      </c>
      <c r="AL64" s="7">
        <v>1</v>
      </c>
      <c r="AM64" s="7">
        <f t="shared" si="52"/>
        <v>1.5</v>
      </c>
      <c r="AN64" s="7">
        <f>520/1000</f>
        <v>0.52</v>
      </c>
      <c r="AO64" s="8">
        <f t="shared" si="13"/>
        <v>1.1000000000000001</v>
      </c>
      <c r="AP64" s="9">
        <f t="shared" si="14"/>
        <v>6600.0000000000009</v>
      </c>
      <c r="AQ64" s="8">
        <f t="shared" si="15"/>
        <v>1.5</v>
      </c>
      <c r="AR64" s="8">
        <f t="shared" si="16"/>
        <v>2.7272727272727271</v>
      </c>
      <c r="AS64" s="8">
        <f t="shared" si="17"/>
        <v>3.333333333333333</v>
      </c>
    </row>
    <row r="65" spans="1:45" ht="15.75" customHeight="1" x14ac:dyDescent="0.3">
      <c r="A65" s="25"/>
      <c r="B65" s="25"/>
      <c r="C65" s="25"/>
      <c r="D65" s="7" t="s">
        <v>19</v>
      </c>
      <c r="E65" s="7">
        <v>3480</v>
      </c>
      <c r="F65" s="11">
        <v>0.6</v>
      </c>
      <c r="G65" s="7">
        <v>0.3</v>
      </c>
      <c r="H65" s="10">
        <v>0.7</v>
      </c>
      <c r="I65" s="7">
        <f t="shared" si="53"/>
        <v>2.1428571428571428</v>
      </c>
      <c r="J65" s="7">
        <v>0.55000000000000004</v>
      </c>
      <c r="K65" s="8">
        <f t="shared" si="8"/>
        <v>0.79999999999999993</v>
      </c>
      <c r="L65" s="9">
        <f t="shared" si="9"/>
        <v>2783.9999999999995</v>
      </c>
      <c r="M65" s="8">
        <f t="shared" si="10"/>
        <v>2.1428571428571428</v>
      </c>
      <c r="N65" s="8">
        <f t="shared" si="11"/>
        <v>3.7500000000000004</v>
      </c>
      <c r="O65" s="8">
        <f t="shared" si="12"/>
        <v>5</v>
      </c>
      <c r="P65" s="25"/>
      <c r="Q65" s="25"/>
      <c r="R65" s="25"/>
      <c r="S65" s="7" t="s">
        <v>22</v>
      </c>
      <c r="T65" s="7">
        <v>1600</v>
      </c>
      <c r="U65" s="7">
        <v>0.6</v>
      </c>
      <c r="V65" s="7">
        <v>0.8</v>
      </c>
      <c r="W65" s="7">
        <v>0.55000000000000004</v>
      </c>
      <c r="X65" s="7">
        <f t="shared" si="50"/>
        <v>2.7272727272727271</v>
      </c>
      <c r="Y65" s="7">
        <v>0.65</v>
      </c>
      <c r="Z65" s="8">
        <f t="shared" si="45"/>
        <v>-0.5</v>
      </c>
      <c r="AA65" s="9">
        <f t="shared" si="46"/>
        <v>-800</v>
      </c>
      <c r="AB65" s="8">
        <f t="shared" si="51"/>
        <v>2.7272727272727271</v>
      </c>
      <c r="AC65" s="8">
        <f t="shared" si="4"/>
        <v>-6</v>
      </c>
      <c r="AD65" s="8">
        <f t="shared" si="5"/>
        <v>1.875</v>
      </c>
      <c r="AE65" s="25"/>
      <c r="AF65" s="25"/>
      <c r="AG65" s="25"/>
      <c r="AH65" s="7" t="s">
        <v>22</v>
      </c>
      <c r="AI65" s="7">
        <v>6000</v>
      </c>
      <c r="AJ65" s="7">
        <v>1.4</v>
      </c>
      <c r="AK65" s="7">
        <v>0.45</v>
      </c>
      <c r="AL65" s="7">
        <v>1</v>
      </c>
      <c r="AM65" s="7">
        <f t="shared" si="52"/>
        <v>1.5</v>
      </c>
      <c r="AN65" s="7">
        <v>0.9</v>
      </c>
      <c r="AO65" s="8">
        <f t="shared" si="13"/>
        <v>1.1000000000000001</v>
      </c>
      <c r="AP65" s="9">
        <f t="shared" si="14"/>
        <v>6600.0000000000009</v>
      </c>
      <c r="AQ65" s="8">
        <f t="shared" si="15"/>
        <v>1.5</v>
      </c>
      <c r="AR65" s="8">
        <f t="shared" si="16"/>
        <v>2.7272727272727271</v>
      </c>
      <c r="AS65" s="8">
        <f t="shared" si="17"/>
        <v>3.333333333333333</v>
      </c>
    </row>
    <row r="66" spans="1:45" ht="15.75" customHeight="1" x14ac:dyDescent="0.3">
      <c r="A66" s="25"/>
      <c r="B66" s="25"/>
      <c r="C66" s="25"/>
      <c r="D66" s="7" t="s">
        <v>22</v>
      </c>
      <c r="E66" s="7">
        <v>3720</v>
      </c>
      <c r="F66" s="11">
        <v>0.6</v>
      </c>
      <c r="G66" s="7">
        <v>0.4</v>
      </c>
      <c r="H66" s="7">
        <v>0.73</v>
      </c>
      <c r="I66" s="7">
        <f t="shared" si="53"/>
        <v>2.0547945205479454</v>
      </c>
      <c r="J66" s="7">
        <v>0.6</v>
      </c>
      <c r="K66" s="8">
        <f t="shared" si="8"/>
        <v>0.65999999999999992</v>
      </c>
      <c r="L66" s="9">
        <f t="shared" si="9"/>
        <v>2455.1999999999998</v>
      </c>
      <c r="M66" s="8">
        <f t="shared" si="10"/>
        <v>2.0547945205479454</v>
      </c>
      <c r="N66" s="8">
        <f t="shared" si="11"/>
        <v>4.5454545454545459</v>
      </c>
      <c r="O66" s="8">
        <f t="shared" si="12"/>
        <v>3.75</v>
      </c>
      <c r="P66" s="25"/>
      <c r="Q66" s="25"/>
      <c r="R66" s="25"/>
      <c r="S66" s="7" t="s">
        <v>23</v>
      </c>
      <c r="T66" s="7">
        <v>2800</v>
      </c>
      <c r="U66" s="7">
        <v>0.65</v>
      </c>
      <c r="V66" s="7">
        <v>0.3</v>
      </c>
      <c r="W66" s="7">
        <v>0.5</v>
      </c>
      <c r="X66" s="7">
        <f t="shared" si="50"/>
        <v>3</v>
      </c>
      <c r="Y66" s="7">
        <v>0.4</v>
      </c>
      <c r="Z66" s="8">
        <f t="shared" si="45"/>
        <v>0.4</v>
      </c>
      <c r="AA66" s="9">
        <f t="shared" si="46"/>
        <v>1120</v>
      </c>
      <c r="AB66" s="8">
        <f t="shared" si="51"/>
        <v>3</v>
      </c>
      <c r="AC66" s="8">
        <f t="shared" si="4"/>
        <v>7.5</v>
      </c>
      <c r="AD66" s="8">
        <f t="shared" si="5"/>
        <v>5</v>
      </c>
      <c r="AE66" s="25"/>
      <c r="AF66" s="25"/>
      <c r="AG66" s="25"/>
      <c r="AH66" s="7" t="s">
        <v>23</v>
      </c>
      <c r="AI66" s="7">
        <v>1840</v>
      </c>
      <c r="AJ66" s="7">
        <v>1.2</v>
      </c>
      <c r="AK66" s="7">
        <v>0.3</v>
      </c>
      <c r="AL66" s="7">
        <v>0.6</v>
      </c>
      <c r="AM66" s="7">
        <f t="shared" si="52"/>
        <v>2.5</v>
      </c>
      <c r="AN66" s="7">
        <v>0.4</v>
      </c>
      <c r="AO66" s="8">
        <f t="shared" si="13"/>
        <v>0.6</v>
      </c>
      <c r="AP66" s="9">
        <f t="shared" si="14"/>
        <v>1104</v>
      </c>
      <c r="AQ66" s="8">
        <f t="shared" si="15"/>
        <v>2.5</v>
      </c>
      <c r="AR66" s="8">
        <f t="shared" si="16"/>
        <v>2.7272727272727271</v>
      </c>
      <c r="AS66" s="8">
        <f t="shared" si="17"/>
        <v>5</v>
      </c>
    </row>
    <row r="67" spans="1:45" ht="15.75" customHeight="1" x14ac:dyDescent="0.3">
      <c r="A67" s="25"/>
      <c r="B67" s="25"/>
      <c r="C67" s="25"/>
      <c r="D67" s="7" t="s">
        <v>23</v>
      </c>
      <c r="E67" s="7">
        <v>4800</v>
      </c>
      <c r="F67" s="11">
        <v>0.7</v>
      </c>
      <c r="G67" s="7">
        <v>0.45</v>
      </c>
      <c r="H67" s="7">
        <v>0.68</v>
      </c>
      <c r="I67" s="7">
        <f t="shared" si="53"/>
        <v>2.2058823529411762</v>
      </c>
      <c r="J67" s="7">
        <v>0.55000000000000004</v>
      </c>
      <c r="K67" s="8">
        <f t="shared" si="8"/>
        <v>0.46000000000000008</v>
      </c>
      <c r="L67" s="9">
        <f t="shared" si="9"/>
        <v>2208.0000000000005</v>
      </c>
      <c r="M67" s="8">
        <f t="shared" si="10"/>
        <v>2.2058823529411762</v>
      </c>
      <c r="N67" s="8">
        <f t="shared" si="11"/>
        <v>6.5217391304347814</v>
      </c>
      <c r="O67" s="8">
        <f t="shared" si="12"/>
        <v>3.333333333333333</v>
      </c>
      <c r="P67" s="25"/>
      <c r="Q67" s="25"/>
      <c r="R67" s="25"/>
      <c r="S67" s="7" t="s">
        <v>24</v>
      </c>
      <c r="T67" s="7">
        <v>2800</v>
      </c>
      <c r="U67" s="7">
        <v>0.65</v>
      </c>
      <c r="V67" s="7">
        <v>0.3</v>
      </c>
      <c r="W67" s="7">
        <v>0.5</v>
      </c>
      <c r="X67" s="7">
        <f t="shared" si="50"/>
        <v>3</v>
      </c>
      <c r="Y67" s="7">
        <v>0.4</v>
      </c>
      <c r="Z67" s="8">
        <f t="shared" si="45"/>
        <v>0.4</v>
      </c>
      <c r="AA67" s="9">
        <f t="shared" si="46"/>
        <v>1120</v>
      </c>
      <c r="AB67" s="8">
        <f t="shared" si="51"/>
        <v>3</v>
      </c>
      <c r="AC67" s="8">
        <f t="shared" si="4"/>
        <v>7.5</v>
      </c>
      <c r="AD67" s="8">
        <f t="shared" si="5"/>
        <v>5</v>
      </c>
      <c r="AE67" s="25"/>
      <c r="AF67" s="25"/>
      <c r="AG67" s="25"/>
      <c r="AH67" s="7" t="s">
        <v>24</v>
      </c>
      <c r="AI67" s="7">
        <v>2280</v>
      </c>
      <c r="AJ67" s="7">
        <v>1.4</v>
      </c>
      <c r="AK67" s="7">
        <v>0.35</v>
      </c>
      <c r="AL67" s="7">
        <v>0.6</v>
      </c>
      <c r="AM67" s="7">
        <f t="shared" si="52"/>
        <v>2.5</v>
      </c>
      <c r="AN67" s="7">
        <v>0.7</v>
      </c>
      <c r="AO67" s="8">
        <f t="shared" si="13"/>
        <v>0.5</v>
      </c>
      <c r="AP67" s="9">
        <f t="shared" si="14"/>
        <v>1140</v>
      </c>
      <c r="AQ67" s="8">
        <f t="shared" si="15"/>
        <v>2.5</v>
      </c>
      <c r="AR67" s="8">
        <f t="shared" si="16"/>
        <v>5</v>
      </c>
      <c r="AS67" s="8">
        <f t="shared" si="17"/>
        <v>4.2857142857142856</v>
      </c>
    </row>
    <row r="68" spans="1:45" ht="15.75" customHeight="1" x14ac:dyDescent="0.3">
      <c r="A68" s="25"/>
      <c r="B68" s="25"/>
      <c r="C68" s="25"/>
      <c r="D68" s="7" t="s">
        <v>24</v>
      </c>
      <c r="E68" s="7">
        <v>5500</v>
      </c>
      <c r="F68" s="11">
        <v>0.6</v>
      </c>
      <c r="G68" s="7">
        <v>0.3</v>
      </c>
      <c r="H68" s="16">
        <v>0.7</v>
      </c>
      <c r="I68" s="7">
        <f t="shared" si="53"/>
        <v>2.1428571428571428</v>
      </c>
      <c r="J68" s="7">
        <v>0.5</v>
      </c>
      <c r="K68" s="8">
        <f t="shared" si="8"/>
        <v>0.79999999999999993</v>
      </c>
      <c r="L68" s="9">
        <f t="shared" si="9"/>
        <v>4400</v>
      </c>
      <c r="M68" s="8">
        <f t="shared" si="10"/>
        <v>2.1428571428571428</v>
      </c>
      <c r="N68" s="8">
        <f t="shared" si="11"/>
        <v>3.7500000000000004</v>
      </c>
      <c r="O68" s="8">
        <f t="shared" si="12"/>
        <v>5</v>
      </c>
      <c r="P68" s="25"/>
      <c r="Q68" s="25"/>
      <c r="R68" s="25"/>
      <c r="S68" s="7" t="s">
        <v>25</v>
      </c>
      <c r="T68" s="7">
        <v>2800</v>
      </c>
      <c r="U68" s="7">
        <v>0.65</v>
      </c>
      <c r="V68" s="7">
        <v>0.3</v>
      </c>
      <c r="W68" s="7">
        <v>0.5</v>
      </c>
      <c r="X68" s="7">
        <f t="shared" si="50"/>
        <v>3</v>
      </c>
      <c r="Y68" s="7">
        <v>0.4</v>
      </c>
      <c r="Z68" s="8">
        <f t="shared" si="45"/>
        <v>0.4</v>
      </c>
      <c r="AA68" s="9">
        <f t="shared" si="46"/>
        <v>1120</v>
      </c>
      <c r="AB68" s="8">
        <f t="shared" si="51"/>
        <v>3</v>
      </c>
      <c r="AC68" s="8">
        <f t="shared" si="4"/>
        <v>7.5</v>
      </c>
      <c r="AD68" s="8">
        <f t="shared" si="5"/>
        <v>5</v>
      </c>
      <c r="AE68" s="25"/>
      <c r="AF68" s="25"/>
      <c r="AG68" s="25"/>
      <c r="AH68" s="7" t="s">
        <v>25</v>
      </c>
      <c r="AI68" s="7">
        <v>2520</v>
      </c>
      <c r="AJ68" s="7">
        <v>1.4</v>
      </c>
      <c r="AK68" s="7">
        <v>0.35</v>
      </c>
      <c r="AL68" s="7">
        <v>0.75</v>
      </c>
      <c r="AM68" s="7">
        <f t="shared" si="52"/>
        <v>2</v>
      </c>
      <c r="AN68" s="7">
        <v>0.75</v>
      </c>
      <c r="AO68" s="8">
        <f t="shared" si="13"/>
        <v>0.8</v>
      </c>
      <c r="AP68" s="9">
        <f t="shared" si="14"/>
        <v>2016</v>
      </c>
      <c r="AQ68" s="8">
        <f t="shared" si="15"/>
        <v>2</v>
      </c>
      <c r="AR68" s="8">
        <f t="shared" si="16"/>
        <v>6</v>
      </c>
      <c r="AS68" s="8">
        <f t="shared" si="17"/>
        <v>4.2857142857142856</v>
      </c>
    </row>
    <row r="69" spans="1:45" ht="15.75" customHeight="1" x14ac:dyDescent="0.3">
      <c r="A69" s="26"/>
      <c r="B69" s="26"/>
      <c r="C69" s="26"/>
      <c r="D69" s="7" t="s">
        <v>25</v>
      </c>
      <c r="E69" s="7">
        <v>6000</v>
      </c>
      <c r="F69" s="11">
        <v>1</v>
      </c>
      <c r="G69" s="7">
        <v>0.3</v>
      </c>
      <c r="H69" s="16">
        <v>0.9</v>
      </c>
      <c r="I69" s="7">
        <f t="shared" si="53"/>
        <v>1.6666666666666665</v>
      </c>
      <c r="J69" s="7">
        <v>0.5</v>
      </c>
      <c r="K69" s="8">
        <f t="shared" si="8"/>
        <v>1.2000000000000002</v>
      </c>
      <c r="L69" s="9">
        <f t="shared" si="9"/>
        <v>7200.0000000000009</v>
      </c>
      <c r="M69" s="8">
        <f t="shared" si="10"/>
        <v>1.6666666666666665</v>
      </c>
      <c r="N69" s="8">
        <f t="shared" si="11"/>
        <v>2.4999999999999996</v>
      </c>
      <c r="O69" s="8">
        <f t="shared" si="12"/>
        <v>5</v>
      </c>
      <c r="P69" s="26"/>
      <c r="Q69" s="26"/>
      <c r="R69" s="26"/>
      <c r="S69" s="7" t="s">
        <v>26</v>
      </c>
      <c r="T69" s="7">
        <v>2800</v>
      </c>
      <c r="U69" s="7">
        <v>0.65</v>
      </c>
      <c r="V69" s="7">
        <v>0.3</v>
      </c>
      <c r="W69" s="7">
        <v>0.5</v>
      </c>
      <c r="X69" s="7">
        <f t="shared" si="50"/>
        <v>3</v>
      </c>
      <c r="Y69" s="7">
        <v>0.4</v>
      </c>
      <c r="Z69" s="8">
        <f t="shared" si="45"/>
        <v>0.4</v>
      </c>
      <c r="AA69" s="9">
        <f t="shared" si="46"/>
        <v>1120</v>
      </c>
      <c r="AB69" s="8">
        <f t="shared" si="51"/>
        <v>3</v>
      </c>
      <c r="AC69" s="8">
        <f t="shared" si="4"/>
        <v>7.5</v>
      </c>
      <c r="AD69" s="8">
        <f t="shared" si="5"/>
        <v>5</v>
      </c>
      <c r="AE69" s="26"/>
      <c r="AF69" s="26"/>
      <c r="AG69" s="26"/>
      <c r="AH69" s="7" t="s">
        <v>26</v>
      </c>
      <c r="AI69" s="7">
        <v>2500</v>
      </c>
      <c r="AJ69" s="7">
        <v>1.4</v>
      </c>
      <c r="AK69" s="7">
        <v>0.35</v>
      </c>
      <c r="AL69" s="7">
        <v>0.75</v>
      </c>
      <c r="AM69" s="7">
        <f t="shared" si="52"/>
        <v>2</v>
      </c>
      <c r="AN69" s="7">
        <v>0.75</v>
      </c>
      <c r="AO69" s="8">
        <f t="shared" si="13"/>
        <v>0.8</v>
      </c>
      <c r="AP69" s="9">
        <f t="shared" si="14"/>
        <v>2000</v>
      </c>
      <c r="AQ69" s="8">
        <f t="shared" si="15"/>
        <v>2</v>
      </c>
      <c r="AR69" s="8">
        <f t="shared" si="16"/>
        <v>3.75</v>
      </c>
      <c r="AS69" s="8">
        <f t="shared" si="17"/>
        <v>4.2857142857142856</v>
      </c>
    </row>
    <row r="70" spans="1:45" ht="15.75" customHeight="1" x14ac:dyDescent="0.3">
      <c r="A70" s="27" t="s">
        <v>32</v>
      </c>
      <c r="B70" s="27">
        <v>291</v>
      </c>
      <c r="C70" s="27" t="s">
        <v>17</v>
      </c>
      <c r="D70" s="7" t="s">
        <v>26</v>
      </c>
      <c r="E70" s="7">
        <v>1480</v>
      </c>
      <c r="F70" s="11">
        <v>0.6</v>
      </c>
      <c r="G70" s="7">
        <v>0.3</v>
      </c>
      <c r="H70" s="16">
        <v>0.6</v>
      </c>
      <c r="I70" s="7">
        <f t="shared" si="53"/>
        <v>2.5</v>
      </c>
      <c r="J70" s="7">
        <v>0.5</v>
      </c>
      <c r="K70" s="8">
        <f t="shared" si="8"/>
        <v>0.6</v>
      </c>
      <c r="L70" s="9">
        <f t="shared" si="9"/>
        <v>888</v>
      </c>
      <c r="M70" s="8">
        <f t="shared" si="10"/>
        <v>2.5</v>
      </c>
      <c r="N70" s="8">
        <f t="shared" si="11"/>
        <v>5</v>
      </c>
      <c r="O70" s="8">
        <f t="shared" si="12"/>
        <v>5</v>
      </c>
      <c r="P70" s="27" t="s">
        <v>32</v>
      </c>
      <c r="Q70" s="27">
        <v>295</v>
      </c>
      <c r="R70" s="27" t="s">
        <v>18</v>
      </c>
      <c r="S70" s="32" t="s">
        <v>15</v>
      </c>
      <c r="T70" s="33"/>
      <c r="U70" s="33"/>
      <c r="V70" s="33"/>
      <c r="W70" s="33"/>
      <c r="X70" s="33"/>
      <c r="Y70" s="34"/>
      <c r="Z70" s="8">
        <f t="shared" si="45"/>
        <v>0</v>
      </c>
      <c r="AA70" s="9">
        <f t="shared" si="46"/>
        <v>0</v>
      </c>
      <c r="AC70" s="8" t="e">
        <f t="shared" si="4"/>
        <v>#DIV/0!</v>
      </c>
      <c r="AD70" s="8" t="e">
        <f t="shared" si="5"/>
        <v>#DIV/0!</v>
      </c>
      <c r="AE70" s="27" t="s">
        <v>33</v>
      </c>
      <c r="AF70" s="27">
        <v>351</v>
      </c>
      <c r="AG70" s="27" t="s">
        <v>21</v>
      </c>
      <c r="AH70" s="32" t="s">
        <v>15</v>
      </c>
      <c r="AI70" s="33"/>
      <c r="AJ70" s="33"/>
      <c r="AK70" s="33"/>
      <c r="AL70" s="33"/>
      <c r="AM70" s="33"/>
      <c r="AN70" s="34"/>
      <c r="AO70" s="8">
        <f t="shared" si="13"/>
        <v>0</v>
      </c>
      <c r="AP70" s="9">
        <f t="shared" si="14"/>
        <v>0</v>
      </c>
      <c r="AQ70" s="8" t="e">
        <f t="shared" si="15"/>
        <v>#DIV/0!</v>
      </c>
      <c r="AR70" s="8">
        <f t="shared" si="16"/>
        <v>3.75</v>
      </c>
      <c r="AS70" s="8" t="e">
        <f t="shared" si="17"/>
        <v>#DIV/0!</v>
      </c>
    </row>
    <row r="71" spans="1:45" ht="15.75" customHeight="1" x14ac:dyDescent="0.25">
      <c r="A71" s="25"/>
      <c r="B71" s="25"/>
      <c r="C71" s="25"/>
      <c r="D71" s="32" t="s">
        <v>15</v>
      </c>
      <c r="E71" s="33"/>
      <c r="F71" s="33"/>
      <c r="G71" s="33"/>
      <c r="H71" s="33"/>
      <c r="I71" s="33"/>
      <c r="J71" s="34"/>
      <c r="K71" s="8">
        <f t="shared" si="8"/>
        <v>0</v>
      </c>
      <c r="L71" s="9">
        <f t="shared" si="9"/>
        <v>0</v>
      </c>
      <c r="M71" s="8" t="e">
        <f t="shared" si="10"/>
        <v>#DIV/0!</v>
      </c>
      <c r="N71" s="8" t="e">
        <f t="shared" si="11"/>
        <v>#DIV/0!</v>
      </c>
      <c r="O71" s="8" t="e">
        <f t="shared" si="12"/>
        <v>#DIV/0!</v>
      </c>
      <c r="P71" s="25"/>
      <c r="Q71" s="25"/>
      <c r="R71" s="25"/>
      <c r="S71" s="2"/>
      <c r="T71" s="2"/>
      <c r="U71" s="2"/>
      <c r="V71" s="2"/>
      <c r="W71" s="2"/>
      <c r="X71" s="2"/>
      <c r="Y71" s="2"/>
      <c r="Z71" s="8">
        <f t="shared" si="45"/>
        <v>0</v>
      </c>
      <c r="AA71" s="9">
        <f t="shared" si="46"/>
        <v>0</v>
      </c>
      <c r="AC71" s="8" t="e">
        <f t="shared" si="4"/>
        <v>#DIV/0!</v>
      </c>
      <c r="AD71" s="8" t="e">
        <f t="shared" si="5"/>
        <v>#DIV/0!</v>
      </c>
      <c r="AE71" s="25"/>
      <c r="AF71" s="25"/>
      <c r="AG71" s="25"/>
      <c r="AH71" s="14" t="s">
        <v>3</v>
      </c>
      <c r="AI71" s="14" t="s">
        <v>4</v>
      </c>
      <c r="AJ71" s="14" t="s">
        <v>5</v>
      </c>
      <c r="AK71" s="14" t="s">
        <v>6</v>
      </c>
      <c r="AL71" s="14" t="s">
        <v>7</v>
      </c>
      <c r="AM71" s="14" t="s">
        <v>8</v>
      </c>
      <c r="AN71" s="14" t="s">
        <v>10</v>
      </c>
      <c r="AO71" s="8" t="e">
        <f t="shared" si="13"/>
        <v>#VALUE!</v>
      </c>
      <c r="AP71" s="9" t="e">
        <f t="shared" si="14"/>
        <v>#VALUE!</v>
      </c>
      <c r="AQ71" s="8" t="e">
        <f t="shared" si="15"/>
        <v>#VALUE!</v>
      </c>
      <c r="AR71" s="8" t="e">
        <f t="shared" si="16"/>
        <v>#DIV/0!</v>
      </c>
      <c r="AS71" s="8" t="e">
        <f t="shared" si="17"/>
        <v>#VALUE!</v>
      </c>
    </row>
    <row r="72" spans="1:45" ht="15.75" customHeight="1" x14ac:dyDescent="0.25">
      <c r="A72" s="25"/>
      <c r="B72" s="25"/>
      <c r="C72" s="25"/>
      <c r="D72" s="19"/>
      <c r="E72" s="20"/>
      <c r="F72" s="20"/>
      <c r="G72" s="20"/>
      <c r="H72" s="20"/>
      <c r="I72" s="20"/>
      <c r="J72" s="21"/>
      <c r="K72" s="8">
        <f t="shared" si="8"/>
        <v>0</v>
      </c>
      <c r="L72" s="9">
        <f t="shared" si="9"/>
        <v>0</v>
      </c>
      <c r="M72" s="8" t="e">
        <f t="shared" si="10"/>
        <v>#DIV/0!</v>
      </c>
      <c r="N72" s="8" t="e">
        <f t="shared" si="11"/>
        <v>#DIV/0!</v>
      </c>
      <c r="O72" s="8" t="e">
        <f t="shared" si="12"/>
        <v>#DIV/0!</v>
      </c>
      <c r="P72" s="25"/>
      <c r="Q72" s="25"/>
      <c r="R72" s="25"/>
      <c r="S72" s="14" t="s">
        <v>3</v>
      </c>
      <c r="T72" s="14" t="s">
        <v>4</v>
      </c>
      <c r="U72" s="14" t="s">
        <v>5</v>
      </c>
      <c r="V72" s="14" t="s">
        <v>6</v>
      </c>
      <c r="W72" s="14" t="s">
        <v>7</v>
      </c>
      <c r="X72" s="14" t="s">
        <v>8</v>
      </c>
      <c r="Y72" s="14" t="s">
        <v>10</v>
      </c>
      <c r="AA72" s="9"/>
      <c r="AC72" s="8" t="e">
        <f t="shared" si="4"/>
        <v>#VALUE!</v>
      </c>
      <c r="AD72" s="8" t="e">
        <f t="shared" si="5"/>
        <v>#VALUE!</v>
      </c>
      <c r="AE72" s="25"/>
      <c r="AF72" s="25"/>
      <c r="AG72" s="25"/>
      <c r="AH72" s="7" t="s">
        <v>16</v>
      </c>
      <c r="AI72" s="10">
        <v>2400</v>
      </c>
      <c r="AJ72" s="10">
        <v>0.88</v>
      </c>
      <c r="AK72" s="7">
        <v>0.3</v>
      </c>
      <c r="AL72" s="10">
        <v>0.65</v>
      </c>
      <c r="AM72" s="10">
        <f t="shared" ref="AM72:AM78" si="54">1.5/AL72</f>
        <v>2.3076923076923075</v>
      </c>
      <c r="AN72" s="10">
        <f>840/1000</f>
        <v>0.84</v>
      </c>
      <c r="AO72" s="8">
        <f t="shared" si="13"/>
        <v>0.70000000000000007</v>
      </c>
      <c r="AP72" s="9">
        <f t="shared" si="14"/>
        <v>1680.0000000000002</v>
      </c>
      <c r="AQ72" s="8">
        <f t="shared" si="15"/>
        <v>2.3076923076923075</v>
      </c>
      <c r="AR72" s="8" t="e">
        <f t="shared" si="16"/>
        <v>#VALUE!</v>
      </c>
      <c r="AS72" s="8">
        <f t="shared" si="17"/>
        <v>5</v>
      </c>
    </row>
    <row r="73" spans="1:45" ht="15.75" customHeight="1" x14ac:dyDescent="0.25">
      <c r="A73" s="25"/>
      <c r="B73" s="25"/>
      <c r="C73" s="25"/>
      <c r="D73" s="14" t="s">
        <v>3</v>
      </c>
      <c r="E73" s="14" t="s">
        <v>4</v>
      </c>
      <c r="F73" s="14" t="s">
        <v>5</v>
      </c>
      <c r="G73" s="14" t="s">
        <v>6</v>
      </c>
      <c r="H73" s="14" t="s">
        <v>7</v>
      </c>
      <c r="I73" s="14" t="s">
        <v>8</v>
      </c>
      <c r="J73" s="14" t="s">
        <v>10</v>
      </c>
      <c r="K73" s="8" t="e">
        <f t="shared" si="8"/>
        <v>#VALUE!</v>
      </c>
      <c r="L73" s="9" t="e">
        <f t="shared" si="9"/>
        <v>#VALUE!</v>
      </c>
      <c r="M73" s="8" t="e">
        <f t="shared" si="10"/>
        <v>#VALUE!</v>
      </c>
      <c r="N73" s="8" t="e">
        <f t="shared" si="11"/>
        <v>#VALUE!</v>
      </c>
      <c r="O73" s="8" t="e">
        <f t="shared" si="12"/>
        <v>#VALUE!</v>
      </c>
      <c r="P73" s="25"/>
      <c r="Q73" s="25"/>
      <c r="R73" s="25"/>
      <c r="S73" s="7" t="s">
        <v>16</v>
      </c>
      <c r="T73" s="7">
        <v>1600</v>
      </c>
      <c r="U73" s="7">
        <v>0.6</v>
      </c>
      <c r="V73" s="7">
        <v>0.3</v>
      </c>
      <c r="W73" s="7">
        <v>0.5</v>
      </c>
      <c r="X73" s="7">
        <f t="shared" ref="X73:X79" si="55">1.5/W73</f>
        <v>3</v>
      </c>
      <c r="Y73" s="7">
        <v>0.4</v>
      </c>
      <c r="Z73" s="8">
        <f t="shared" ref="Z73:Z88" si="56">(W73-V73)*2</f>
        <v>0.4</v>
      </c>
      <c r="AA73" s="9">
        <f t="shared" ref="AA73:AA88" si="57">((W73-V73)*T73)*2</f>
        <v>640</v>
      </c>
      <c r="AB73" s="8">
        <f t="shared" ref="AB73:AB88" si="58">(1.5/W73)</f>
        <v>3</v>
      </c>
      <c r="AC73" s="8">
        <f t="shared" si="4"/>
        <v>7.5</v>
      </c>
      <c r="AD73" s="8">
        <f t="shared" si="5"/>
        <v>5</v>
      </c>
      <c r="AE73" s="25"/>
      <c r="AF73" s="25"/>
      <c r="AG73" s="25"/>
      <c r="AH73" s="7" t="s">
        <v>19</v>
      </c>
      <c r="AI73" s="15">
        <v>5220</v>
      </c>
      <c r="AJ73" s="10">
        <v>1</v>
      </c>
      <c r="AK73" s="7">
        <v>0.45</v>
      </c>
      <c r="AL73" s="7">
        <v>1</v>
      </c>
      <c r="AM73" s="10">
        <f t="shared" si="54"/>
        <v>1.5</v>
      </c>
      <c r="AN73" s="7">
        <v>0.9</v>
      </c>
      <c r="AO73" s="8">
        <f t="shared" si="13"/>
        <v>1.1000000000000001</v>
      </c>
      <c r="AP73" s="9">
        <f t="shared" si="14"/>
        <v>5742.0000000000009</v>
      </c>
      <c r="AQ73" s="8">
        <f t="shared" si="15"/>
        <v>1.5</v>
      </c>
      <c r="AR73" s="8">
        <f t="shared" si="16"/>
        <v>4.2857142857142856</v>
      </c>
      <c r="AS73" s="8">
        <f t="shared" si="17"/>
        <v>3.333333333333333</v>
      </c>
    </row>
    <row r="74" spans="1:45" ht="15.75" customHeight="1" x14ac:dyDescent="0.25">
      <c r="A74" s="25"/>
      <c r="B74" s="25"/>
      <c r="C74" s="25"/>
      <c r="D74" s="7" t="s">
        <v>16</v>
      </c>
      <c r="E74" s="7">
        <v>3600</v>
      </c>
      <c r="F74" s="7">
        <v>0.83</v>
      </c>
      <c r="G74" s="7">
        <v>0.4</v>
      </c>
      <c r="H74" s="7">
        <v>0.68</v>
      </c>
      <c r="I74" s="7">
        <f t="shared" ref="I74:I80" si="59">1.5/H74</f>
        <v>2.2058823529411762</v>
      </c>
      <c r="J74" s="7">
        <v>0.5</v>
      </c>
      <c r="K74" s="8">
        <f t="shared" si="8"/>
        <v>0.56000000000000005</v>
      </c>
      <c r="L74" s="9">
        <f t="shared" si="9"/>
        <v>2016.0000000000002</v>
      </c>
      <c r="M74" s="8">
        <f t="shared" si="10"/>
        <v>2.2058823529411762</v>
      </c>
      <c r="N74" s="8">
        <f t="shared" si="11"/>
        <v>5.3571428571428568</v>
      </c>
      <c r="O74" s="8">
        <f t="shared" si="12"/>
        <v>3.75</v>
      </c>
      <c r="P74" s="25"/>
      <c r="Q74" s="25"/>
      <c r="R74" s="25"/>
      <c r="S74" s="7" t="s">
        <v>19</v>
      </c>
      <c r="T74" s="7">
        <v>2800</v>
      </c>
      <c r="U74" s="7">
        <v>0.65</v>
      </c>
      <c r="V74" s="7">
        <v>0.32</v>
      </c>
      <c r="W74" s="7">
        <v>0.55000000000000004</v>
      </c>
      <c r="X74" s="7">
        <f t="shared" si="55"/>
        <v>2.7272727272727271</v>
      </c>
      <c r="Y74" s="7">
        <v>0.4</v>
      </c>
      <c r="Z74" s="8">
        <f t="shared" si="56"/>
        <v>0.46000000000000008</v>
      </c>
      <c r="AA74" s="9">
        <f t="shared" si="57"/>
        <v>1288.0000000000002</v>
      </c>
      <c r="AB74" s="8">
        <f t="shared" si="58"/>
        <v>2.7272727272727271</v>
      </c>
      <c r="AC74" s="8">
        <f t="shared" si="4"/>
        <v>6.5217391304347814</v>
      </c>
      <c r="AD74" s="8">
        <f t="shared" si="5"/>
        <v>4.6875</v>
      </c>
      <c r="AE74" s="25"/>
      <c r="AF74" s="25"/>
      <c r="AG74" s="25"/>
      <c r="AH74" s="7" t="s">
        <v>22</v>
      </c>
      <c r="AI74" s="15">
        <v>2040</v>
      </c>
      <c r="AJ74" s="10">
        <v>0.7</v>
      </c>
      <c r="AK74" s="10">
        <v>0.3</v>
      </c>
      <c r="AL74" s="15">
        <v>0.7</v>
      </c>
      <c r="AM74" s="10">
        <f t="shared" si="54"/>
        <v>2.1428571428571428</v>
      </c>
      <c r="AN74" s="10">
        <v>0.7</v>
      </c>
      <c r="AO74" s="8">
        <f t="shared" si="13"/>
        <v>0.79999999999999993</v>
      </c>
      <c r="AP74" s="9">
        <f t="shared" si="14"/>
        <v>1631.9999999999998</v>
      </c>
      <c r="AQ74" s="8">
        <f t="shared" si="15"/>
        <v>2.1428571428571428</v>
      </c>
      <c r="AR74" s="8">
        <f t="shared" si="16"/>
        <v>2.7272727272727271</v>
      </c>
      <c r="AS74" s="8">
        <f t="shared" si="17"/>
        <v>5</v>
      </c>
    </row>
    <row r="75" spans="1:45" ht="15.75" customHeight="1" x14ac:dyDescent="0.25">
      <c r="A75" s="25"/>
      <c r="B75" s="25"/>
      <c r="C75" s="25"/>
      <c r="D75" s="7" t="s">
        <v>19</v>
      </c>
      <c r="E75" s="7">
        <v>2400</v>
      </c>
      <c r="F75" s="7">
        <v>0.7</v>
      </c>
      <c r="G75" s="7">
        <v>0.3</v>
      </c>
      <c r="H75" s="7">
        <v>0.65</v>
      </c>
      <c r="I75" s="7">
        <f t="shared" si="59"/>
        <v>2.3076923076923075</v>
      </c>
      <c r="J75" s="7">
        <v>0.4</v>
      </c>
      <c r="K75" s="8">
        <f t="shared" si="8"/>
        <v>0.70000000000000007</v>
      </c>
      <c r="L75" s="9">
        <f t="shared" si="9"/>
        <v>1680.0000000000002</v>
      </c>
      <c r="M75" s="8">
        <f t="shared" si="10"/>
        <v>2.3076923076923075</v>
      </c>
      <c r="N75" s="8">
        <f t="shared" si="11"/>
        <v>4.2857142857142856</v>
      </c>
      <c r="O75" s="8">
        <f t="shared" si="12"/>
        <v>5</v>
      </c>
      <c r="P75" s="25"/>
      <c r="Q75" s="25"/>
      <c r="R75" s="25"/>
      <c r="S75" s="7" t="s">
        <v>22</v>
      </c>
      <c r="T75" s="7">
        <v>3200</v>
      </c>
      <c r="U75" s="7">
        <v>0.68</v>
      </c>
      <c r="V75" s="7">
        <v>0.35</v>
      </c>
      <c r="W75" s="7">
        <v>0.56999999999999995</v>
      </c>
      <c r="X75" s="7">
        <f t="shared" si="55"/>
        <v>2.6315789473684212</v>
      </c>
      <c r="Y75" s="7">
        <v>0.45</v>
      </c>
      <c r="Z75" s="8">
        <f t="shared" si="56"/>
        <v>0.43999999999999995</v>
      </c>
      <c r="AA75" s="9">
        <f t="shared" si="57"/>
        <v>1407.9999999999998</v>
      </c>
      <c r="AB75" s="8">
        <f t="shared" si="58"/>
        <v>2.6315789473684212</v>
      </c>
      <c r="AC75" s="8">
        <f t="shared" si="4"/>
        <v>6.8181818181818192</v>
      </c>
      <c r="AD75" s="8">
        <f t="shared" si="5"/>
        <v>4.2857142857142856</v>
      </c>
      <c r="AE75" s="25"/>
      <c r="AF75" s="25"/>
      <c r="AG75" s="25"/>
      <c r="AH75" s="7" t="s">
        <v>23</v>
      </c>
      <c r="AI75" s="7">
        <v>3320</v>
      </c>
      <c r="AJ75" s="10">
        <v>0.9</v>
      </c>
      <c r="AK75" s="7">
        <v>0.38</v>
      </c>
      <c r="AL75" s="7">
        <v>0.7</v>
      </c>
      <c r="AM75" s="10">
        <f t="shared" si="54"/>
        <v>2.1428571428571428</v>
      </c>
      <c r="AN75" s="7">
        <v>0.8</v>
      </c>
      <c r="AO75" s="8">
        <f t="shared" si="13"/>
        <v>0.6399999999999999</v>
      </c>
      <c r="AP75" s="9">
        <f t="shared" si="14"/>
        <v>2124.7999999999997</v>
      </c>
      <c r="AQ75" s="8">
        <f t="shared" si="15"/>
        <v>2.1428571428571428</v>
      </c>
      <c r="AR75" s="8">
        <f t="shared" si="16"/>
        <v>3.7500000000000004</v>
      </c>
      <c r="AS75" s="8">
        <f t="shared" si="17"/>
        <v>3.9473684210526314</v>
      </c>
    </row>
    <row r="76" spans="1:45" ht="15.75" customHeight="1" x14ac:dyDescent="0.25">
      <c r="A76" s="25"/>
      <c r="B76" s="25"/>
      <c r="C76" s="25"/>
      <c r="D76" s="7" t="s">
        <v>22</v>
      </c>
      <c r="E76" s="7">
        <v>6000</v>
      </c>
      <c r="F76" s="7">
        <v>1</v>
      </c>
      <c r="G76" s="7">
        <v>0.45</v>
      </c>
      <c r="H76" s="7">
        <v>1</v>
      </c>
      <c r="I76" s="7">
        <f t="shared" si="59"/>
        <v>1.5</v>
      </c>
      <c r="J76" s="7">
        <v>0.45</v>
      </c>
      <c r="K76" s="8">
        <f t="shared" si="8"/>
        <v>1.1000000000000001</v>
      </c>
      <c r="L76" s="9">
        <f t="shared" si="9"/>
        <v>6600.0000000000009</v>
      </c>
      <c r="M76" s="8">
        <f t="shared" si="10"/>
        <v>1.5</v>
      </c>
      <c r="N76" s="8">
        <f t="shared" si="11"/>
        <v>2.7272727272727271</v>
      </c>
      <c r="O76" s="8">
        <f t="shared" si="12"/>
        <v>3.333333333333333</v>
      </c>
      <c r="P76" s="25"/>
      <c r="Q76" s="25"/>
      <c r="R76" s="25"/>
      <c r="S76" s="7" t="s">
        <v>23</v>
      </c>
      <c r="T76" s="7">
        <v>3200</v>
      </c>
      <c r="U76" s="7">
        <v>0.7</v>
      </c>
      <c r="V76" s="7">
        <v>0.35</v>
      </c>
      <c r="W76" s="7">
        <v>0.56999999999999995</v>
      </c>
      <c r="X76" s="7">
        <f t="shared" si="55"/>
        <v>2.6315789473684212</v>
      </c>
      <c r="Y76" s="7">
        <v>0.45</v>
      </c>
      <c r="Z76" s="8">
        <f t="shared" si="56"/>
        <v>0.43999999999999995</v>
      </c>
      <c r="AA76" s="9">
        <f t="shared" si="57"/>
        <v>1407.9999999999998</v>
      </c>
      <c r="AB76" s="8">
        <f t="shared" si="58"/>
        <v>2.6315789473684212</v>
      </c>
      <c r="AC76" s="8">
        <f t="shared" si="4"/>
        <v>6.8181818181818192</v>
      </c>
      <c r="AD76" s="8">
        <f t="shared" si="5"/>
        <v>4.2857142857142856</v>
      </c>
      <c r="AE76" s="25"/>
      <c r="AF76" s="25"/>
      <c r="AG76" s="25"/>
      <c r="AH76" s="7" t="s">
        <v>24</v>
      </c>
      <c r="AI76" s="7">
        <v>4840</v>
      </c>
      <c r="AJ76" s="10">
        <v>0.95</v>
      </c>
      <c r="AK76" s="7">
        <v>0.4</v>
      </c>
      <c r="AL76" s="7">
        <v>0.85</v>
      </c>
      <c r="AM76" s="10">
        <f t="shared" si="54"/>
        <v>1.7647058823529411</v>
      </c>
      <c r="AN76" s="7">
        <f>920/1000</f>
        <v>0.92</v>
      </c>
      <c r="AO76" s="8">
        <f t="shared" si="13"/>
        <v>0.89999999999999991</v>
      </c>
      <c r="AP76" s="9">
        <f t="shared" si="14"/>
        <v>4356</v>
      </c>
      <c r="AQ76" s="8">
        <f t="shared" si="15"/>
        <v>1.7647058823529411</v>
      </c>
      <c r="AR76" s="8">
        <f t="shared" si="16"/>
        <v>4.6875000000000009</v>
      </c>
      <c r="AS76" s="8">
        <f t="shared" si="17"/>
        <v>3.75</v>
      </c>
    </row>
    <row r="77" spans="1:45" ht="15.75" customHeight="1" x14ac:dyDescent="0.25">
      <c r="A77" s="25"/>
      <c r="B77" s="25"/>
      <c r="C77" s="25"/>
      <c r="D77" s="7" t="s">
        <v>23</v>
      </c>
      <c r="E77" s="7">
        <v>5500</v>
      </c>
      <c r="F77" s="7">
        <v>0.9</v>
      </c>
      <c r="G77" s="7">
        <v>0.4</v>
      </c>
      <c r="H77" s="7">
        <v>0.9</v>
      </c>
      <c r="I77" s="7">
        <f t="shared" si="59"/>
        <v>1.6666666666666665</v>
      </c>
      <c r="J77" s="7">
        <v>0.42</v>
      </c>
      <c r="K77" s="8">
        <f t="shared" si="8"/>
        <v>1</v>
      </c>
      <c r="L77" s="9">
        <f t="shared" si="9"/>
        <v>5500</v>
      </c>
      <c r="M77" s="8">
        <f t="shared" si="10"/>
        <v>1.6666666666666665</v>
      </c>
      <c r="N77" s="8">
        <f t="shared" si="11"/>
        <v>3</v>
      </c>
      <c r="O77" s="8">
        <f t="shared" si="12"/>
        <v>3.75</v>
      </c>
      <c r="P77" s="25"/>
      <c r="Q77" s="25"/>
      <c r="R77" s="25"/>
      <c r="S77" s="7" t="s">
        <v>24</v>
      </c>
      <c r="T77" s="7">
        <v>3500</v>
      </c>
      <c r="U77" s="7">
        <v>0.7</v>
      </c>
      <c r="V77" s="7">
        <v>0.35</v>
      </c>
      <c r="W77" s="7">
        <v>0.6</v>
      </c>
      <c r="X77" s="7">
        <f t="shared" si="55"/>
        <v>2.5</v>
      </c>
      <c r="Y77" s="7">
        <v>0.45</v>
      </c>
      <c r="Z77" s="8">
        <f t="shared" si="56"/>
        <v>0.5</v>
      </c>
      <c r="AA77" s="9">
        <f t="shared" si="57"/>
        <v>1750</v>
      </c>
      <c r="AB77" s="8">
        <f t="shared" si="58"/>
        <v>2.5</v>
      </c>
      <c r="AC77" s="8">
        <f t="shared" si="4"/>
        <v>6</v>
      </c>
      <c r="AD77" s="8">
        <f t="shared" si="5"/>
        <v>4.2857142857142856</v>
      </c>
      <c r="AE77" s="25"/>
      <c r="AF77" s="25"/>
      <c r="AG77" s="25"/>
      <c r="AH77" s="7" t="s">
        <v>25</v>
      </c>
      <c r="AI77" s="7">
        <v>4400</v>
      </c>
      <c r="AJ77" s="10">
        <v>1</v>
      </c>
      <c r="AK77" s="7">
        <v>0.45</v>
      </c>
      <c r="AL77" s="7">
        <v>0.85</v>
      </c>
      <c r="AM77" s="10">
        <f t="shared" si="54"/>
        <v>1.7647058823529411</v>
      </c>
      <c r="AN77" s="10">
        <v>0.9</v>
      </c>
      <c r="AO77" s="8">
        <f t="shared" si="13"/>
        <v>0.79999999999999993</v>
      </c>
      <c r="AP77" s="9">
        <f t="shared" si="14"/>
        <v>3519.9999999999995</v>
      </c>
      <c r="AQ77" s="8">
        <f t="shared" si="15"/>
        <v>1.7647058823529411</v>
      </c>
      <c r="AR77" s="8">
        <f t="shared" si="16"/>
        <v>3.3333333333333335</v>
      </c>
      <c r="AS77" s="8">
        <f t="shared" si="17"/>
        <v>3.333333333333333</v>
      </c>
    </row>
    <row r="78" spans="1:45" ht="15.75" customHeight="1" x14ac:dyDescent="0.25">
      <c r="A78" s="25"/>
      <c r="B78" s="25"/>
      <c r="C78" s="25"/>
      <c r="D78" s="7" t="s">
        <v>24</v>
      </c>
      <c r="E78" s="7">
        <v>4000</v>
      </c>
      <c r="F78" s="7">
        <v>0.9</v>
      </c>
      <c r="G78" s="7">
        <v>0.4</v>
      </c>
      <c r="H78" s="7">
        <v>0.73</v>
      </c>
      <c r="I78" s="7">
        <f t="shared" si="59"/>
        <v>2.0547945205479454</v>
      </c>
      <c r="J78" s="7">
        <v>0.4</v>
      </c>
      <c r="K78" s="8">
        <f t="shared" si="8"/>
        <v>0.65999999999999992</v>
      </c>
      <c r="L78" s="9">
        <f t="shared" si="9"/>
        <v>2639.9999999999995</v>
      </c>
      <c r="M78" s="8">
        <f t="shared" si="10"/>
        <v>2.0547945205479454</v>
      </c>
      <c r="N78" s="8">
        <f t="shared" si="11"/>
        <v>4.5454545454545459</v>
      </c>
      <c r="O78" s="8">
        <f t="shared" si="12"/>
        <v>3.75</v>
      </c>
      <c r="P78" s="25"/>
      <c r="Q78" s="25"/>
      <c r="R78" s="25"/>
      <c r="S78" s="7" t="s">
        <v>25</v>
      </c>
      <c r="T78" s="7">
        <v>4000</v>
      </c>
      <c r="U78" s="7">
        <v>0.73</v>
      </c>
      <c r="V78" s="7">
        <v>0.4</v>
      </c>
      <c r="W78" s="7">
        <v>0.6</v>
      </c>
      <c r="X78" s="7">
        <f t="shared" si="55"/>
        <v>2.5</v>
      </c>
      <c r="Y78" s="7">
        <v>0.45</v>
      </c>
      <c r="Z78" s="8">
        <f t="shared" si="56"/>
        <v>0.39999999999999991</v>
      </c>
      <c r="AA78" s="9">
        <f t="shared" si="57"/>
        <v>1599.9999999999995</v>
      </c>
      <c r="AB78" s="8">
        <f t="shared" si="58"/>
        <v>2.5</v>
      </c>
      <c r="AC78" s="8">
        <f t="shared" si="4"/>
        <v>7.5000000000000018</v>
      </c>
      <c r="AD78" s="8">
        <f t="shared" si="5"/>
        <v>3.75</v>
      </c>
      <c r="AE78" s="25"/>
      <c r="AF78" s="25"/>
      <c r="AG78" s="25"/>
      <c r="AH78" s="7" t="s">
        <v>26</v>
      </c>
      <c r="AI78" s="7">
        <v>3300</v>
      </c>
      <c r="AJ78" s="7">
        <v>0.95</v>
      </c>
      <c r="AK78" s="7">
        <v>0.35</v>
      </c>
      <c r="AL78" s="7">
        <v>0.7</v>
      </c>
      <c r="AM78" s="7">
        <f t="shared" si="54"/>
        <v>2.1428571428571428</v>
      </c>
      <c r="AN78" s="7">
        <v>0.6</v>
      </c>
      <c r="AO78" s="8">
        <f t="shared" si="13"/>
        <v>0.7</v>
      </c>
      <c r="AP78" s="9">
        <f t="shared" si="14"/>
        <v>2310</v>
      </c>
      <c r="AQ78" s="8">
        <f t="shared" si="15"/>
        <v>2.1428571428571428</v>
      </c>
      <c r="AR78" s="8">
        <f t="shared" si="16"/>
        <v>3.7500000000000004</v>
      </c>
      <c r="AS78" s="8">
        <f t="shared" si="17"/>
        <v>4.2857142857142856</v>
      </c>
    </row>
    <row r="79" spans="1:45" ht="15.75" customHeight="1" x14ac:dyDescent="0.25">
      <c r="A79" s="25"/>
      <c r="B79" s="25"/>
      <c r="C79" s="25"/>
      <c r="D79" s="7" t="s">
        <v>25</v>
      </c>
      <c r="E79" s="7">
        <v>6000</v>
      </c>
      <c r="F79" s="7">
        <v>1</v>
      </c>
      <c r="G79" s="7">
        <v>0.45</v>
      </c>
      <c r="H79" s="7">
        <v>1</v>
      </c>
      <c r="I79" s="7">
        <f t="shared" si="59"/>
        <v>1.5</v>
      </c>
      <c r="J79" s="7">
        <v>0.45</v>
      </c>
      <c r="K79" s="8">
        <f t="shared" si="8"/>
        <v>1.1000000000000001</v>
      </c>
      <c r="L79" s="9">
        <f t="shared" si="9"/>
        <v>6600.0000000000009</v>
      </c>
      <c r="M79" s="8">
        <f t="shared" si="10"/>
        <v>1.5</v>
      </c>
      <c r="N79" s="8">
        <f t="shared" si="11"/>
        <v>2.7272727272727271</v>
      </c>
      <c r="O79" s="8">
        <f t="shared" si="12"/>
        <v>3.333333333333333</v>
      </c>
      <c r="P79" s="25"/>
      <c r="Q79" s="25"/>
      <c r="R79" s="25"/>
      <c r="S79" s="7" t="s">
        <v>26</v>
      </c>
      <c r="T79" s="7">
        <v>4000</v>
      </c>
      <c r="U79" s="7">
        <v>0.73</v>
      </c>
      <c r="V79" s="7">
        <v>0.4</v>
      </c>
      <c r="W79" s="7">
        <v>0.6</v>
      </c>
      <c r="X79" s="7">
        <f t="shared" si="55"/>
        <v>2.5</v>
      </c>
      <c r="Y79" s="7">
        <v>0.45</v>
      </c>
      <c r="Z79" s="8">
        <f t="shared" si="56"/>
        <v>0.39999999999999991</v>
      </c>
      <c r="AA79" s="9">
        <f t="shared" si="57"/>
        <v>1599.9999999999995</v>
      </c>
      <c r="AB79" s="8">
        <f t="shared" si="58"/>
        <v>2.5</v>
      </c>
      <c r="AC79" s="8">
        <f t="shared" si="4"/>
        <v>7.5000000000000018</v>
      </c>
      <c r="AD79" s="8">
        <f t="shared" si="5"/>
        <v>3.75</v>
      </c>
      <c r="AE79" s="25"/>
      <c r="AF79" s="25"/>
      <c r="AG79" s="25"/>
      <c r="AH79" s="32" t="s">
        <v>27</v>
      </c>
      <c r="AI79" s="33"/>
      <c r="AJ79" s="33"/>
      <c r="AK79" s="33"/>
      <c r="AL79" s="33"/>
      <c r="AM79" s="33"/>
      <c r="AN79" s="34"/>
      <c r="AO79" s="8">
        <f t="shared" si="13"/>
        <v>0</v>
      </c>
      <c r="AP79" s="9">
        <f t="shared" si="14"/>
        <v>0</v>
      </c>
      <c r="AQ79" s="8" t="e">
        <f t="shared" si="15"/>
        <v>#DIV/0!</v>
      </c>
      <c r="AR79" s="8">
        <f t="shared" si="16"/>
        <v>4.2857142857142856</v>
      </c>
      <c r="AS79" s="8" t="e">
        <f t="shared" si="17"/>
        <v>#DIV/0!</v>
      </c>
    </row>
    <row r="80" spans="1:45" ht="15.75" customHeight="1" x14ac:dyDescent="0.25">
      <c r="A80" s="25"/>
      <c r="B80" s="25"/>
      <c r="C80" s="25"/>
      <c r="D80" s="7" t="s">
        <v>26</v>
      </c>
      <c r="E80" s="7">
        <v>2760</v>
      </c>
      <c r="F80" s="7">
        <v>0.65</v>
      </c>
      <c r="G80" s="7">
        <v>0.45</v>
      </c>
      <c r="H80" s="7">
        <v>0.6</v>
      </c>
      <c r="I80" s="7">
        <f t="shared" si="59"/>
        <v>2.5</v>
      </c>
      <c r="J80" s="7">
        <v>0.5</v>
      </c>
      <c r="K80" s="8">
        <f t="shared" si="8"/>
        <v>0.29999999999999993</v>
      </c>
      <c r="L80" s="9">
        <f t="shared" si="9"/>
        <v>827.99999999999977</v>
      </c>
      <c r="M80" s="8">
        <f t="shared" si="10"/>
        <v>2.5</v>
      </c>
      <c r="N80" s="8">
        <f t="shared" si="11"/>
        <v>10.000000000000002</v>
      </c>
      <c r="O80" s="8">
        <f t="shared" si="12"/>
        <v>3.333333333333333</v>
      </c>
      <c r="P80" s="25"/>
      <c r="Q80" s="25"/>
      <c r="R80" s="25"/>
      <c r="S80" s="32" t="s">
        <v>27</v>
      </c>
      <c r="T80" s="33"/>
      <c r="U80" s="33"/>
      <c r="V80" s="33"/>
      <c r="W80" s="33"/>
      <c r="X80" s="33"/>
      <c r="Y80" s="34"/>
      <c r="Z80" s="8">
        <f t="shared" si="56"/>
        <v>0</v>
      </c>
      <c r="AA80" s="9">
        <f t="shared" si="57"/>
        <v>0</v>
      </c>
      <c r="AB80" s="8" t="e">
        <f t="shared" si="58"/>
        <v>#DIV/0!</v>
      </c>
      <c r="AC80" s="8" t="e">
        <f t="shared" si="4"/>
        <v>#DIV/0!</v>
      </c>
      <c r="AD80" s="8" t="e">
        <f t="shared" si="5"/>
        <v>#DIV/0!</v>
      </c>
      <c r="AE80" s="25"/>
      <c r="AF80" s="25"/>
      <c r="AG80" s="25"/>
      <c r="AH80" s="7" t="s">
        <v>16</v>
      </c>
      <c r="AI80" s="12">
        <v>2050</v>
      </c>
      <c r="AJ80" s="7">
        <v>0.8</v>
      </c>
      <c r="AK80" s="7">
        <v>0.3</v>
      </c>
      <c r="AL80" s="7">
        <v>0.63</v>
      </c>
      <c r="AM80" s="7">
        <f t="shared" ref="AM80:AM86" si="60">1.5/AL80</f>
        <v>2.3809523809523809</v>
      </c>
      <c r="AN80" s="7">
        <v>0.45</v>
      </c>
      <c r="AO80" s="8">
        <f t="shared" si="13"/>
        <v>0.66</v>
      </c>
      <c r="AP80" s="9">
        <f t="shared" si="14"/>
        <v>1353</v>
      </c>
      <c r="AQ80" s="8">
        <f t="shared" si="15"/>
        <v>2.3809523809523809</v>
      </c>
      <c r="AR80" s="8" t="e">
        <f t="shared" si="16"/>
        <v>#DIV/0!</v>
      </c>
      <c r="AS80" s="8">
        <f t="shared" si="17"/>
        <v>5</v>
      </c>
    </row>
    <row r="81" spans="1:45" ht="15.75" customHeight="1" x14ac:dyDescent="0.25">
      <c r="A81" s="25"/>
      <c r="B81" s="25"/>
      <c r="C81" s="25"/>
      <c r="D81" s="32" t="s">
        <v>27</v>
      </c>
      <c r="E81" s="33"/>
      <c r="F81" s="33"/>
      <c r="G81" s="33"/>
      <c r="H81" s="33"/>
      <c r="I81" s="33"/>
      <c r="J81" s="34"/>
      <c r="K81" s="8">
        <f t="shared" si="8"/>
        <v>0</v>
      </c>
      <c r="L81" s="9">
        <f t="shared" si="9"/>
        <v>0</v>
      </c>
      <c r="M81" s="8" t="e">
        <f t="shared" si="10"/>
        <v>#DIV/0!</v>
      </c>
      <c r="N81" s="8" t="e">
        <f t="shared" si="11"/>
        <v>#DIV/0!</v>
      </c>
      <c r="O81" s="8" t="e">
        <f t="shared" si="12"/>
        <v>#DIV/0!</v>
      </c>
      <c r="P81" s="25"/>
      <c r="Q81" s="25"/>
      <c r="R81" s="25"/>
      <c r="S81" s="7" t="s">
        <v>16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8">
        <f t="shared" si="56"/>
        <v>0</v>
      </c>
      <c r="AA81" s="9">
        <f t="shared" si="57"/>
        <v>0</v>
      </c>
      <c r="AB81" s="8" t="e">
        <f t="shared" si="58"/>
        <v>#DIV/0!</v>
      </c>
      <c r="AC81" s="8" t="e">
        <f t="shared" si="4"/>
        <v>#DIV/0!</v>
      </c>
      <c r="AD81" s="8" t="e">
        <f t="shared" si="5"/>
        <v>#DIV/0!</v>
      </c>
      <c r="AE81" s="25"/>
      <c r="AF81" s="25"/>
      <c r="AG81" s="25"/>
      <c r="AH81" s="7" t="s">
        <v>19</v>
      </c>
      <c r="AI81" s="12">
        <v>3100</v>
      </c>
      <c r="AJ81" s="7">
        <v>0.88</v>
      </c>
      <c r="AK81" s="7">
        <v>0.33</v>
      </c>
      <c r="AL81" s="7">
        <v>0.75</v>
      </c>
      <c r="AM81" s="7">
        <f t="shared" si="60"/>
        <v>2</v>
      </c>
      <c r="AN81" s="7">
        <v>0.8</v>
      </c>
      <c r="AO81" s="8">
        <f t="shared" si="13"/>
        <v>0.84</v>
      </c>
      <c r="AP81" s="9">
        <f t="shared" si="14"/>
        <v>2604</v>
      </c>
      <c r="AQ81" s="8">
        <f t="shared" si="15"/>
        <v>2</v>
      </c>
      <c r="AR81" s="8">
        <f t="shared" si="16"/>
        <v>4.545454545454545</v>
      </c>
      <c r="AS81" s="8">
        <f t="shared" si="17"/>
        <v>4.545454545454545</v>
      </c>
    </row>
    <row r="82" spans="1:45" ht="15.75" customHeight="1" x14ac:dyDescent="0.25">
      <c r="A82" s="25"/>
      <c r="B82" s="25"/>
      <c r="C82" s="25"/>
      <c r="D82" s="7" t="s">
        <v>16</v>
      </c>
      <c r="E82" s="7">
        <v>1400</v>
      </c>
      <c r="F82" s="7">
        <v>0.6</v>
      </c>
      <c r="G82" s="7">
        <v>0.4</v>
      </c>
      <c r="H82" s="7">
        <v>0.6</v>
      </c>
      <c r="I82" s="7">
        <f t="shared" ref="I82:I88" si="61">1.5/H82</f>
        <v>2.5</v>
      </c>
      <c r="J82" s="7">
        <v>0.65</v>
      </c>
      <c r="K82" s="8">
        <f t="shared" si="8"/>
        <v>0.39999999999999991</v>
      </c>
      <c r="L82" s="9">
        <f t="shared" si="9"/>
        <v>559.99999999999989</v>
      </c>
      <c r="M82" s="8">
        <f t="shared" si="10"/>
        <v>2.5</v>
      </c>
      <c r="N82" s="8">
        <f t="shared" si="11"/>
        <v>7.5000000000000018</v>
      </c>
      <c r="O82" s="8">
        <f t="shared" si="12"/>
        <v>3.75</v>
      </c>
      <c r="P82" s="25"/>
      <c r="Q82" s="25"/>
      <c r="R82" s="25"/>
      <c r="S82" s="7" t="s">
        <v>19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8">
        <f t="shared" si="56"/>
        <v>0</v>
      </c>
      <c r="AA82" s="9">
        <f t="shared" si="57"/>
        <v>0</v>
      </c>
      <c r="AB82" s="8" t="e">
        <f t="shared" si="58"/>
        <v>#DIV/0!</v>
      </c>
      <c r="AC82" s="8" t="e">
        <f t="shared" si="4"/>
        <v>#DIV/0!</v>
      </c>
      <c r="AD82" s="8" t="e">
        <f t="shared" si="5"/>
        <v>#DIV/0!</v>
      </c>
      <c r="AE82" s="25"/>
      <c r="AF82" s="25"/>
      <c r="AG82" s="25"/>
      <c r="AH82" s="7" t="s">
        <v>22</v>
      </c>
      <c r="AI82" s="12">
        <v>2350</v>
      </c>
      <c r="AJ82" s="7">
        <v>0.75</v>
      </c>
      <c r="AK82" s="7">
        <v>0.3</v>
      </c>
      <c r="AL82" s="7">
        <v>0.6</v>
      </c>
      <c r="AM82" s="7">
        <f t="shared" si="60"/>
        <v>2.5</v>
      </c>
      <c r="AN82" s="7">
        <v>0.5</v>
      </c>
      <c r="AO82" s="8">
        <f t="shared" si="13"/>
        <v>0.6</v>
      </c>
      <c r="AP82" s="9">
        <f t="shared" si="14"/>
        <v>1410</v>
      </c>
      <c r="AQ82" s="8">
        <f t="shared" si="15"/>
        <v>2.5</v>
      </c>
      <c r="AR82" s="8">
        <f t="shared" si="16"/>
        <v>3.5714285714285716</v>
      </c>
      <c r="AS82" s="8">
        <f t="shared" si="17"/>
        <v>5</v>
      </c>
    </row>
    <row r="83" spans="1:45" ht="15.75" customHeight="1" x14ac:dyDescent="0.25">
      <c r="A83" s="25"/>
      <c r="B83" s="25"/>
      <c r="C83" s="25"/>
      <c r="D83" s="7" t="s">
        <v>19</v>
      </c>
      <c r="E83" s="7">
        <v>2200</v>
      </c>
      <c r="F83" s="7">
        <v>0.65</v>
      </c>
      <c r="G83" s="7">
        <v>0.45</v>
      </c>
      <c r="H83" s="7">
        <v>0.67</v>
      </c>
      <c r="I83" s="7">
        <f t="shared" si="61"/>
        <v>2.2388059701492535</v>
      </c>
      <c r="J83" s="7">
        <v>0.55000000000000004</v>
      </c>
      <c r="K83" s="8">
        <f t="shared" si="8"/>
        <v>0.44000000000000006</v>
      </c>
      <c r="L83" s="9">
        <f t="shared" si="9"/>
        <v>968.00000000000011</v>
      </c>
      <c r="M83" s="8">
        <f t="shared" si="10"/>
        <v>2.2388059701492535</v>
      </c>
      <c r="N83" s="8">
        <f t="shared" si="11"/>
        <v>6.8181818181818175</v>
      </c>
      <c r="O83" s="8">
        <f t="shared" si="12"/>
        <v>3.333333333333333</v>
      </c>
      <c r="P83" s="25"/>
      <c r="Q83" s="25"/>
      <c r="R83" s="25"/>
      <c r="S83" s="7" t="s">
        <v>22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8">
        <f t="shared" si="56"/>
        <v>0</v>
      </c>
      <c r="AA83" s="9">
        <f t="shared" si="57"/>
        <v>0</v>
      </c>
      <c r="AB83" s="8" t="e">
        <f t="shared" si="58"/>
        <v>#DIV/0!</v>
      </c>
      <c r="AC83" s="8" t="e">
        <f t="shared" si="4"/>
        <v>#DIV/0!</v>
      </c>
      <c r="AD83" s="8" t="e">
        <f t="shared" si="5"/>
        <v>#DIV/0!</v>
      </c>
      <c r="AE83" s="25"/>
      <c r="AF83" s="25"/>
      <c r="AG83" s="25"/>
      <c r="AH83" s="7" t="s">
        <v>23</v>
      </c>
      <c r="AI83" s="12">
        <v>3800</v>
      </c>
      <c r="AJ83" s="7">
        <v>0.8</v>
      </c>
      <c r="AK83" s="7">
        <v>0.4</v>
      </c>
      <c r="AL83" s="7">
        <v>0.8</v>
      </c>
      <c r="AM83" s="7">
        <f t="shared" si="60"/>
        <v>1.875</v>
      </c>
      <c r="AN83" s="7">
        <v>0.56000000000000005</v>
      </c>
      <c r="AO83" s="8">
        <f t="shared" si="13"/>
        <v>0.8</v>
      </c>
      <c r="AP83" s="9">
        <f t="shared" si="14"/>
        <v>3040</v>
      </c>
      <c r="AQ83" s="8">
        <f t="shared" si="15"/>
        <v>1.875</v>
      </c>
      <c r="AR83" s="8">
        <f t="shared" si="16"/>
        <v>5</v>
      </c>
      <c r="AS83" s="8">
        <f t="shared" si="17"/>
        <v>3.75</v>
      </c>
    </row>
    <row r="84" spans="1:45" ht="15.75" customHeight="1" x14ac:dyDescent="0.25">
      <c r="A84" s="25"/>
      <c r="B84" s="25"/>
      <c r="C84" s="25"/>
      <c r="D84" s="7" t="s">
        <v>22</v>
      </c>
      <c r="E84" s="7">
        <v>5200</v>
      </c>
      <c r="F84" s="7">
        <v>0.6</v>
      </c>
      <c r="G84" s="7">
        <v>0.4</v>
      </c>
      <c r="H84" s="7">
        <v>0.9</v>
      </c>
      <c r="I84" s="7">
        <f t="shared" si="61"/>
        <v>1.6666666666666665</v>
      </c>
      <c r="J84" s="7">
        <v>0.5</v>
      </c>
      <c r="K84" s="8">
        <f t="shared" si="8"/>
        <v>1</v>
      </c>
      <c r="L84" s="9">
        <f t="shared" si="9"/>
        <v>5200</v>
      </c>
      <c r="M84" s="8">
        <f t="shared" si="10"/>
        <v>1.6666666666666665</v>
      </c>
      <c r="N84" s="8">
        <f t="shared" si="11"/>
        <v>3</v>
      </c>
      <c r="O84" s="8">
        <f t="shared" si="12"/>
        <v>3.75</v>
      </c>
      <c r="P84" s="25"/>
      <c r="Q84" s="25"/>
      <c r="R84" s="25"/>
      <c r="S84" s="7" t="s">
        <v>23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8">
        <f t="shared" si="56"/>
        <v>0</v>
      </c>
      <c r="AA84" s="9">
        <f t="shared" si="57"/>
        <v>0</v>
      </c>
      <c r="AB84" s="8" t="e">
        <f t="shared" si="58"/>
        <v>#DIV/0!</v>
      </c>
      <c r="AC84" s="8" t="e">
        <f t="shared" si="4"/>
        <v>#DIV/0!</v>
      </c>
      <c r="AD84" s="8" t="e">
        <f t="shared" si="5"/>
        <v>#DIV/0!</v>
      </c>
      <c r="AE84" s="25"/>
      <c r="AF84" s="25"/>
      <c r="AG84" s="25"/>
      <c r="AH84" s="7" t="s">
        <v>24</v>
      </c>
      <c r="AI84" s="12">
        <v>4620</v>
      </c>
      <c r="AJ84" s="7">
        <v>0.95</v>
      </c>
      <c r="AK84" s="7">
        <v>0.45</v>
      </c>
      <c r="AL84" s="7">
        <v>0.8</v>
      </c>
      <c r="AM84" s="7">
        <f t="shared" si="60"/>
        <v>1.875</v>
      </c>
      <c r="AN84" s="7">
        <v>0.9</v>
      </c>
      <c r="AO84" s="8">
        <f t="shared" si="13"/>
        <v>0.70000000000000007</v>
      </c>
      <c r="AP84" s="9">
        <f t="shared" si="14"/>
        <v>3234.0000000000005</v>
      </c>
      <c r="AQ84" s="8">
        <f t="shared" si="15"/>
        <v>1.875</v>
      </c>
      <c r="AR84" s="8">
        <f t="shared" si="16"/>
        <v>3.75</v>
      </c>
      <c r="AS84" s="8">
        <f t="shared" si="17"/>
        <v>3.333333333333333</v>
      </c>
    </row>
    <row r="85" spans="1:45" ht="15.75" customHeight="1" x14ac:dyDescent="0.25">
      <c r="A85" s="25"/>
      <c r="B85" s="25"/>
      <c r="C85" s="25"/>
      <c r="D85" s="7" t="s">
        <v>23</v>
      </c>
      <c r="E85" s="7">
        <v>5500</v>
      </c>
      <c r="F85" s="7">
        <v>1</v>
      </c>
      <c r="G85" s="7">
        <v>0.5</v>
      </c>
      <c r="H85" s="7">
        <v>0.9</v>
      </c>
      <c r="I85" s="7">
        <f t="shared" si="61"/>
        <v>1.6666666666666665</v>
      </c>
      <c r="J85" s="7">
        <v>0.55000000000000004</v>
      </c>
      <c r="K85" s="8">
        <f t="shared" si="8"/>
        <v>0.8</v>
      </c>
      <c r="L85" s="9">
        <f t="shared" si="9"/>
        <v>4400</v>
      </c>
      <c r="M85" s="8">
        <f t="shared" si="10"/>
        <v>1.6666666666666665</v>
      </c>
      <c r="N85" s="8">
        <f t="shared" si="11"/>
        <v>3.75</v>
      </c>
      <c r="O85" s="8">
        <f t="shared" si="12"/>
        <v>3</v>
      </c>
      <c r="P85" s="25"/>
      <c r="Q85" s="25"/>
      <c r="R85" s="25"/>
      <c r="S85" s="7" t="s">
        <v>24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8">
        <f t="shared" si="56"/>
        <v>0</v>
      </c>
      <c r="AA85" s="9">
        <f t="shared" si="57"/>
        <v>0</v>
      </c>
      <c r="AB85" s="8" t="e">
        <f t="shared" si="58"/>
        <v>#DIV/0!</v>
      </c>
      <c r="AC85" s="8" t="e">
        <f t="shared" si="4"/>
        <v>#DIV/0!</v>
      </c>
      <c r="AD85" s="8" t="e">
        <f t="shared" si="5"/>
        <v>#DIV/0!</v>
      </c>
      <c r="AE85" s="25"/>
      <c r="AF85" s="25"/>
      <c r="AG85" s="25"/>
      <c r="AH85" s="7" t="s">
        <v>25</v>
      </c>
      <c r="AI85" s="12">
        <v>2190</v>
      </c>
      <c r="AJ85" s="7">
        <v>0.8</v>
      </c>
      <c r="AK85" s="7">
        <v>0.3</v>
      </c>
      <c r="AL85" s="7">
        <v>0.7</v>
      </c>
      <c r="AM85" s="7">
        <f t="shared" si="60"/>
        <v>2.1428571428571428</v>
      </c>
      <c r="AN85" s="7">
        <v>0.5</v>
      </c>
      <c r="AO85" s="8">
        <f t="shared" si="13"/>
        <v>0.79999999999999993</v>
      </c>
      <c r="AP85" s="9">
        <f t="shared" si="14"/>
        <v>1751.9999999999998</v>
      </c>
      <c r="AQ85" s="8">
        <f t="shared" si="15"/>
        <v>2.1428571428571428</v>
      </c>
      <c r="AR85" s="8">
        <f t="shared" si="16"/>
        <v>4.2857142857142856</v>
      </c>
      <c r="AS85" s="8">
        <f t="shared" si="17"/>
        <v>5</v>
      </c>
    </row>
    <row r="86" spans="1:45" ht="15.75" customHeight="1" x14ac:dyDescent="0.25">
      <c r="A86" s="25"/>
      <c r="B86" s="25"/>
      <c r="C86" s="25"/>
      <c r="D86" s="7" t="s">
        <v>24</v>
      </c>
      <c r="E86" s="7">
        <v>6000</v>
      </c>
      <c r="F86" s="7">
        <v>1</v>
      </c>
      <c r="G86" s="7">
        <v>0.5</v>
      </c>
      <c r="H86" s="7">
        <v>1</v>
      </c>
      <c r="I86" s="7">
        <f t="shared" si="61"/>
        <v>1.5</v>
      </c>
      <c r="J86" s="7">
        <v>0.6</v>
      </c>
      <c r="K86" s="8">
        <f t="shared" si="8"/>
        <v>1</v>
      </c>
      <c r="L86" s="9">
        <f t="shared" si="9"/>
        <v>6000</v>
      </c>
      <c r="M86" s="8">
        <f t="shared" si="10"/>
        <v>1.5</v>
      </c>
      <c r="N86" s="8">
        <f t="shared" si="11"/>
        <v>3</v>
      </c>
      <c r="O86" s="8">
        <f t="shared" si="12"/>
        <v>3</v>
      </c>
      <c r="P86" s="25"/>
      <c r="Q86" s="25"/>
      <c r="R86" s="25"/>
      <c r="S86" s="7" t="s">
        <v>25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8">
        <f t="shared" si="56"/>
        <v>0</v>
      </c>
      <c r="AA86" s="9">
        <f t="shared" si="57"/>
        <v>0</v>
      </c>
      <c r="AB86" s="8" t="e">
        <f t="shared" si="58"/>
        <v>#DIV/0!</v>
      </c>
      <c r="AC86" s="8" t="e">
        <f t="shared" si="4"/>
        <v>#DIV/0!</v>
      </c>
      <c r="AD86" s="8" t="e">
        <f t="shared" si="5"/>
        <v>#DIV/0!</v>
      </c>
      <c r="AE86" s="26"/>
      <c r="AF86" s="26"/>
      <c r="AG86" s="26"/>
      <c r="AH86" s="7" t="s">
        <v>26</v>
      </c>
      <c r="AI86" s="12">
        <v>2955</v>
      </c>
      <c r="AJ86" s="7">
        <v>0.85</v>
      </c>
      <c r="AK86" s="7">
        <v>0.3</v>
      </c>
      <c r="AL86" s="7">
        <v>0.7</v>
      </c>
      <c r="AM86" s="7">
        <f t="shared" si="60"/>
        <v>2.1428571428571428</v>
      </c>
      <c r="AN86" s="7">
        <v>0.5</v>
      </c>
      <c r="AO86" s="8">
        <f t="shared" si="13"/>
        <v>0.79999999999999993</v>
      </c>
      <c r="AP86" s="9">
        <f t="shared" si="14"/>
        <v>2364</v>
      </c>
      <c r="AQ86" s="8">
        <f t="shared" si="15"/>
        <v>2.1428571428571428</v>
      </c>
      <c r="AR86" s="8">
        <f t="shared" si="16"/>
        <v>3.7500000000000004</v>
      </c>
      <c r="AS86" s="8">
        <f t="shared" si="17"/>
        <v>5</v>
      </c>
    </row>
    <row r="87" spans="1:45" ht="15.75" customHeight="1" x14ac:dyDescent="0.25">
      <c r="A87" s="26"/>
      <c r="B87" s="26"/>
      <c r="C87" s="26"/>
      <c r="D87" s="7" t="s">
        <v>25</v>
      </c>
      <c r="E87" s="7">
        <v>5200</v>
      </c>
      <c r="F87" s="7">
        <v>0.7</v>
      </c>
      <c r="G87" s="7">
        <v>0.5</v>
      </c>
      <c r="H87" s="7">
        <v>0.9</v>
      </c>
      <c r="I87" s="7">
        <f t="shared" si="61"/>
        <v>1.6666666666666665</v>
      </c>
      <c r="J87" s="7">
        <v>0.6</v>
      </c>
      <c r="K87" s="8">
        <f t="shared" si="8"/>
        <v>0.8</v>
      </c>
      <c r="L87" s="9">
        <f t="shared" si="9"/>
        <v>4160</v>
      </c>
      <c r="M87" s="8">
        <f t="shared" si="10"/>
        <v>1.6666666666666665</v>
      </c>
      <c r="N87" s="8">
        <f t="shared" si="11"/>
        <v>3.75</v>
      </c>
      <c r="O87" s="8">
        <f t="shared" si="12"/>
        <v>3</v>
      </c>
      <c r="P87" s="26"/>
      <c r="Q87" s="26"/>
      <c r="R87" s="26"/>
      <c r="S87" s="7" t="s">
        <v>26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8">
        <f t="shared" si="56"/>
        <v>0</v>
      </c>
      <c r="AA87" s="9">
        <f t="shared" si="57"/>
        <v>0</v>
      </c>
      <c r="AB87" s="8" t="e">
        <f t="shared" si="58"/>
        <v>#DIV/0!</v>
      </c>
      <c r="AC87" s="8" t="e">
        <f t="shared" si="4"/>
        <v>#DIV/0!</v>
      </c>
      <c r="AD87" s="8" t="e">
        <f t="shared" si="5"/>
        <v>#DIV/0!</v>
      </c>
      <c r="AE87" s="39"/>
      <c r="AF87" s="39"/>
      <c r="AG87" s="39"/>
      <c r="AH87" s="32" t="s">
        <v>15</v>
      </c>
      <c r="AI87" s="33"/>
      <c r="AJ87" s="33"/>
      <c r="AK87" s="33"/>
      <c r="AL87" s="33"/>
      <c r="AM87" s="33"/>
      <c r="AN87" s="34"/>
      <c r="AO87" s="8">
        <f t="shared" si="13"/>
        <v>0</v>
      </c>
      <c r="AP87" s="9">
        <f t="shared" si="14"/>
        <v>0</v>
      </c>
      <c r="AQ87" s="8" t="e">
        <f t="shared" si="15"/>
        <v>#DIV/0!</v>
      </c>
      <c r="AR87" s="8">
        <f t="shared" si="16"/>
        <v>3.7500000000000004</v>
      </c>
      <c r="AS87" s="8" t="e">
        <f t="shared" si="17"/>
        <v>#DIV/0!</v>
      </c>
    </row>
    <row r="88" spans="1:45" ht="15.75" customHeight="1" x14ac:dyDescent="0.25">
      <c r="A88" s="27" t="s">
        <v>32</v>
      </c>
      <c r="B88" s="27">
        <v>294</v>
      </c>
      <c r="C88" s="27" t="s">
        <v>17</v>
      </c>
      <c r="D88" s="7" t="s">
        <v>26</v>
      </c>
      <c r="E88" s="7">
        <v>5400</v>
      </c>
      <c r="F88" s="7">
        <v>0.7</v>
      </c>
      <c r="G88" s="7">
        <v>0.5</v>
      </c>
      <c r="H88" s="7">
        <v>0.9</v>
      </c>
      <c r="I88" s="7">
        <f t="shared" si="61"/>
        <v>1.6666666666666665</v>
      </c>
      <c r="J88" s="7">
        <v>0.55000000000000004</v>
      </c>
      <c r="K88" s="8">
        <f t="shared" si="8"/>
        <v>0.8</v>
      </c>
      <c r="L88" s="9">
        <f t="shared" si="9"/>
        <v>4320</v>
      </c>
      <c r="M88" s="8">
        <f t="shared" si="10"/>
        <v>1.6666666666666665</v>
      </c>
      <c r="N88" s="8">
        <f t="shared" si="11"/>
        <v>3.75</v>
      </c>
      <c r="O88" s="8">
        <f t="shared" si="12"/>
        <v>3</v>
      </c>
      <c r="P88" s="27" t="s">
        <v>34</v>
      </c>
      <c r="Q88" s="27">
        <v>389</v>
      </c>
      <c r="R88" s="27" t="s">
        <v>18</v>
      </c>
      <c r="S88" s="32" t="s">
        <v>15</v>
      </c>
      <c r="T88" s="33"/>
      <c r="U88" s="33"/>
      <c r="V88" s="33"/>
      <c r="W88" s="33"/>
      <c r="X88" s="33"/>
      <c r="Y88" s="34"/>
      <c r="Z88" s="8">
        <f t="shared" si="56"/>
        <v>0</v>
      </c>
      <c r="AA88" s="9">
        <f t="shared" si="57"/>
        <v>0</v>
      </c>
      <c r="AB88" s="8" t="e">
        <f t="shared" si="58"/>
        <v>#DIV/0!</v>
      </c>
      <c r="AC88" s="8" t="e">
        <f t="shared" si="4"/>
        <v>#DIV/0!</v>
      </c>
      <c r="AD88" s="8" t="e">
        <f t="shared" si="5"/>
        <v>#DIV/0!</v>
      </c>
      <c r="AE88" s="25"/>
      <c r="AF88" s="25"/>
      <c r="AG88" s="25"/>
      <c r="AH88" s="14" t="s">
        <v>3</v>
      </c>
      <c r="AI88" s="14" t="s">
        <v>4</v>
      </c>
      <c r="AJ88" s="14" t="s">
        <v>5</v>
      </c>
      <c r="AK88" s="14" t="s">
        <v>6</v>
      </c>
      <c r="AL88" s="14" t="s">
        <v>7</v>
      </c>
      <c r="AM88" s="14" t="s">
        <v>8</v>
      </c>
      <c r="AN88" s="14" t="s">
        <v>10</v>
      </c>
      <c r="AO88" s="8" t="e">
        <f t="shared" si="13"/>
        <v>#VALUE!</v>
      </c>
      <c r="AP88" s="9" t="e">
        <f t="shared" si="14"/>
        <v>#VALUE!</v>
      </c>
      <c r="AQ88" s="8" t="e">
        <f t="shared" si="15"/>
        <v>#VALUE!</v>
      </c>
      <c r="AR88" s="8" t="e">
        <f t="shared" si="16"/>
        <v>#DIV/0!</v>
      </c>
      <c r="AS88" s="8" t="e">
        <f t="shared" si="17"/>
        <v>#VALUE!</v>
      </c>
    </row>
    <row r="89" spans="1:45" ht="15.75" customHeight="1" x14ac:dyDescent="0.25">
      <c r="A89" s="25"/>
      <c r="B89" s="25"/>
      <c r="C89" s="25"/>
      <c r="D89" s="32" t="s">
        <v>15</v>
      </c>
      <c r="E89" s="33"/>
      <c r="F89" s="33"/>
      <c r="G89" s="33"/>
      <c r="H89" s="33"/>
      <c r="I89" s="33"/>
      <c r="J89" s="34"/>
      <c r="K89" s="8">
        <f t="shared" si="8"/>
        <v>0</v>
      </c>
      <c r="L89" s="9">
        <f t="shared" si="9"/>
        <v>0</v>
      </c>
      <c r="M89" s="8" t="e">
        <f t="shared" si="10"/>
        <v>#DIV/0!</v>
      </c>
      <c r="N89" s="8" t="e">
        <f t="shared" si="11"/>
        <v>#DIV/0!</v>
      </c>
      <c r="O89" s="8" t="e">
        <f t="shared" si="12"/>
        <v>#DIV/0!</v>
      </c>
      <c r="P89" s="25"/>
      <c r="Q89" s="25"/>
      <c r="R89" s="25"/>
      <c r="S89" s="14" t="s">
        <v>3</v>
      </c>
      <c r="T89" s="14" t="s">
        <v>4</v>
      </c>
      <c r="U89" s="14" t="s">
        <v>5</v>
      </c>
      <c r="V89" s="14" t="s">
        <v>6</v>
      </c>
      <c r="W89" s="14" t="s">
        <v>7</v>
      </c>
      <c r="X89" s="14" t="s">
        <v>8</v>
      </c>
      <c r="Y89" s="14" t="s">
        <v>10</v>
      </c>
      <c r="AA89" s="9"/>
      <c r="AC89" s="8" t="e">
        <f t="shared" si="4"/>
        <v>#VALUE!</v>
      </c>
      <c r="AD89" s="8" t="e">
        <f t="shared" si="5"/>
        <v>#VALUE!</v>
      </c>
      <c r="AE89" s="25"/>
      <c r="AF89" s="25"/>
      <c r="AG89" s="25"/>
      <c r="AH89" s="7" t="s">
        <v>16</v>
      </c>
      <c r="AI89" s="12">
        <v>2480</v>
      </c>
      <c r="AJ89" s="7">
        <v>0.6</v>
      </c>
      <c r="AK89" s="7">
        <v>0.3</v>
      </c>
      <c r="AL89" s="7">
        <v>0.6</v>
      </c>
      <c r="AM89" s="7">
        <f t="shared" ref="AM89:AM95" si="62">1.5/AL89</f>
        <v>2.5</v>
      </c>
      <c r="AN89" s="7">
        <v>0.45</v>
      </c>
      <c r="AO89" s="8">
        <f t="shared" si="13"/>
        <v>0.6</v>
      </c>
      <c r="AP89" s="9">
        <f t="shared" si="14"/>
        <v>1488</v>
      </c>
      <c r="AQ89" s="8">
        <f t="shared" si="15"/>
        <v>2.5</v>
      </c>
      <c r="AR89" s="8" t="e">
        <f t="shared" si="16"/>
        <v>#VALUE!</v>
      </c>
      <c r="AS89" s="8">
        <f t="shared" si="17"/>
        <v>5</v>
      </c>
    </row>
    <row r="90" spans="1:45" ht="15.75" customHeight="1" x14ac:dyDescent="0.25">
      <c r="A90" s="25"/>
      <c r="B90" s="25"/>
      <c r="C90" s="25"/>
      <c r="D90" s="14" t="s">
        <v>3</v>
      </c>
      <c r="E90" s="14" t="s">
        <v>4</v>
      </c>
      <c r="F90" s="14" t="s">
        <v>5</v>
      </c>
      <c r="G90" s="14" t="s">
        <v>6</v>
      </c>
      <c r="H90" s="14" t="s">
        <v>7</v>
      </c>
      <c r="I90" s="14" t="s">
        <v>8</v>
      </c>
      <c r="J90" s="14" t="s">
        <v>10</v>
      </c>
      <c r="K90" s="8" t="e">
        <f t="shared" si="8"/>
        <v>#VALUE!</v>
      </c>
      <c r="L90" s="9" t="e">
        <f t="shared" si="9"/>
        <v>#VALUE!</v>
      </c>
      <c r="M90" s="8" t="e">
        <f t="shared" si="10"/>
        <v>#VALUE!</v>
      </c>
      <c r="N90" s="8" t="e">
        <f t="shared" si="11"/>
        <v>#VALUE!</v>
      </c>
      <c r="O90" s="8" t="e">
        <f t="shared" si="12"/>
        <v>#VALUE!</v>
      </c>
      <c r="P90" s="25"/>
      <c r="Q90" s="25"/>
      <c r="R90" s="25"/>
      <c r="S90" s="7" t="s">
        <v>16</v>
      </c>
      <c r="T90" s="22">
        <v>1600</v>
      </c>
      <c r="U90" s="7">
        <v>0.5</v>
      </c>
      <c r="V90" s="7">
        <v>0.35</v>
      </c>
      <c r="W90" s="7">
        <v>0.55000000000000004</v>
      </c>
      <c r="X90" s="7">
        <f t="shared" ref="X90:X96" si="63">1.5/W90</f>
        <v>2.7272727272727271</v>
      </c>
      <c r="Y90" s="7">
        <v>0.4</v>
      </c>
      <c r="Z90" s="8">
        <f t="shared" ref="Z90:Z105" si="64">(W90-V90)*2</f>
        <v>0.40000000000000013</v>
      </c>
      <c r="AA90" s="9">
        <f t="shared" ref="AA90:AA105" si="65">((W90-V90)*T90)*2</f>
        <v>640.00000000000023</v>
      </c>
      <c r="AB90" s="8">
        <f t="shared" ref="AB90:AB105" si="66">(1.5/W90)</f>
        <v>2.7272727272727271</v>
      </c>
      <c r="AC90" s="8">
        <f t="shared" si="4"/>
        <v>7.4999999999999973</v>
      </c>
      <c r="AD90" s="8">
        <f t="shared" si="5"/>
        <v>4.2857142857142856</v>
      </c>
      <c r="AE90" s="25"/>
      <c r="AF90" s="25"/>
      <c r="AG90" s="25"/>
      <c r="AH90" s="7" t="s">
        <v>19</v>
      </c>
      <c r="AI90" s="12">
        <v>3970</v>
      </c>
      <c r="AJ90" s="7">
        <v>0.75</v>
      </c>
      <c r="AK90" s="7">
        <v>0.34</v>
      </c>
      <c r="AL90" s="7">
        <v>0.63</v>
      </c>
      <c r="AM90" s="7">
        <f t="shared" si="62"/>
        <v>2.3809523809523809</v>
      </c>
      <c r="AN90" s="7">
        <v>0.5</v>
      </c>
      <c r="AO90" s="8">
        <f t="shared" si="13"/>
        <v>0.57999999999999996</v>
      </c>
      <c r="AP90" s="9">
        <f t="shared" si="14"/>
        <v>2302.6</v>
      </c>
      <c r="AQ90" s="8">
        <f t="shared" si="15"/>
        <v>2.3809523809523809</v>
      </c>
      <c r="AR90" s="8">
        <f t="shared" si="16"/>
        <v>5</v>
      </c>
      <c r="AS90" s="8">
        <f t="shared" si="17"/>
        <v>4.4117647058823524</v>
      </c>
    </row>
    <row r="91" spans="1:45" ht="15.75" customHeight="1" x14ac:dyDescent="0.25">
      <c r="A91" s="25"/>
      <c r="B91" s="25"/>
      <c r="C91" s="25"/>
      <c r="D91" s="7" t="s">
        <v>16</v>
      </c>
      <c r="E91" s="7">
        <v>4400</v>
      </c>
      <c r="F91" s="7">
        <v>0.9</v>
      </c>
      <c r="G91" s="7">
        <v>0.3</v>
      </c>
      <c r="H91" s="7">
        <v>0.75</v>
      </c>
      <c r="I91" s="7">
        <f t="shared" ref="I91:I97" si="67">1.5/H91</f>
        <v>2</v>
      </c>
      <c r="J91" s="7">
        <v>0.5</v>
      </c>
      <c r="K91" s="8">
        <f t="shared" si="8"/>
        <v>0.9</v>
      </c>
      <c r="L91" s="9">
        <f t="shared" si="9"/>
        <v>3960</v>
      </c>
      <c r="M91" s="8">
        <f t="shared" si="10"/>
        <v>2</v>
      </c>
      <c r="N91" s="8">
        <f t="shared" si="11"/>
        <v>3.333333333333333</v>
      </c>
      <c r="O91" s="8">
        <f t="shared" si="12"/>
        <v>5</v>
      </c>
      <c r="P91" s="25"/>
      <c r="Q91" s="25"/>
      <c r="R91" s="25"/>
      <c r="S91" s="7" t="s">
        <v>19</v>
      </c>
      <c r="T91" s="22">
        <v>2200</v>
      </c>
      <c r="U91" s="7">
        <v>0.55000000000000004</v>
      </c>
      <c r="V91" s="7">
        <v>0.35</v>
      </c>
      <c r="W91" s="7">
        <v>0.6</v>
      </c>
      <c r="X91" s="7">
        <f t="shared" si="63"/>
        <v>2.5</v>
      </c>
      <c r="Y91" s="7">
        <v>0.4</v>
      </c>
      <c r="Z91" s="8">
        <f t="shared" si="64"/>
        <v>0.5</v>
      </c>
      <c r="AA91" s="9">
        <f t="shared" si="65"/>
        <v>1100</v>
      </c>
      <c r="AB91" s="8">
        <f t="shared" si="66"/>
        <v>2.5</v>
      </c>
      <c r="AC91" s="8">
        <f t="shared" si="4"/>
        <v>6</v>
      </c>
      <c r="AD91" s="8">
        <f t="shared" si="5"/>
        <v>4.2857142857142856</v>
      </c>
      <c r="AE91" s="25"/>
      <c r="AF91" s="25"/>
      <c r="AG91" s="25"/>
      <c r="AH91" s="7" t="s">
        <v>22</v>
      </c>
      <c r="AI91" s="12">
        <v>4450</v>
      </c>
      <c r="AJ91" s="7">
        <v>0.84</v>
      </c>
      <c r="AK91" s="7">
        <v>0.4</v>
      </c>
      <c r="AL91" s="7">
        <v>0.7</v>
      </c>
      <c r="AM91" s="7">
        <f t="shared" si="62"/>
        <v>2.1428571428571428</v>
      </c>
      <c r="AN91" s="7">
        <v>0.65</v>
      </c>
      <c r="AO91" s="8">
        <f t="shared" si="13"/>
        <v>0.59999999999999987</v>
      </c>
      <c r="AP91" s="9">
        <f t="shared" si="14"/>
        <v>2669.9999999999995</v>
      </c>
      <c r="AQ91" s="8">
        <f t="shared" si="15"/>
        <v>2.1428571428571428</v>
      </c>
      <c r="AR91" s="8">
        <f t="shared" si="16"/>
        <v>5.1724137931034484</v>
      </c>
      <c r="AS91" s="8">
        <f t="shared" si="17"/>
        <v>3.75</v>
      </c>
    </row>
    <row r="92" spans="1:45" ht="15.75" customHeight="1" x14ac:dyDescent="0.25">
      <c r="A92" s="25"/>
      <c r="B92" s="25"/>
      <c r="C92" s="25"/>
      <c r="D92" s="7" t="s">
        <v>19</v>
      </c>
      <c r="E92" s="7">
        <v>5200</v>
      </c>
      <c r="F92" s="7">
        <v>1</v>
      </c>
      <c r="G92" s="7">
        <v>0.35</v>
      </c>
      <c r="H92" s="7">
        <v>0.6</v>
      </c>
      <c r="I92" s="7">
        <f t="shared" si="67"/>
        <v>2.5</v>
      </c>
      <c r="J92" s="12">
        <v>0.55000000000000004</v>
      </c>
      <c r="K92" s="8">
        <f t="shared" si="8"/>
        <v>0.5</v>
      </c>
      <c r="L92" s="9">
        <f t="shared" si="9"/>
        <v>2600</v>
      </c>
      <c r="M92" s="8">
        <f t="shared" si="10"/>
        <v>2.5</v>
      </c>
      <c r="N92" s="8">
        <f t="shared" si="11"/>
        <v>6</v>
      </c>
      <c r="O92" s="8">
        <f t="shared" si="12"/>
        <v>4.2857142857142856</v>
      </c>
      <c r="P92" s="25"/>
      <c r="Q92" s="25"/>
      <c r="R92" s="25"/>
      <c r="S92" s="7" t="s">
        <v>22</v>
      </c>
      <c r="T92" s="7">
        <v>1480</v>
      </c>
      <c r="U92" s="7">
        <v>0.5</v>
      </c>
      <c r="V92" s="7">
        <v>0.35</v>
      </c>
      <c r="W92" s="7">
        <v>0.52</v>
      </c>
      <c r="X92" s="7">
        <f t="shared" si="63"/>
        <v>2.8846153846153846</v>
      </c>
      <c r="Y92" s="7">
        <v>0.4</v>
      </c>
      <c r="Z92" s="8">
        <f t="shared" si="64"/>
        <v>0.34000000000000008</v>
      </c>
      <c r="AA92" s="9">
        <f t="shared" si="65"/>
        <v>503.2000000000001</v>
      </c>
      <c r="AB92" s="8">
        <f t="shared" si="66"/>
        <v>2.8846153846153846</v>
      </c>
      <c r="AC92" s="8">
        <f t="shared" si="4"/>
        <v>8.823529411764703</v>
      </c>
      <c r="AD92" s="8">
        <f t="shared" si="5"/>
        <v>4.2857142857142856</v>
      </c>
      <c r="AE92" s="25"/>
      <c r="AF92" s="25"/>
      <c r="AG92" s="25"/>
      <c r="AH92" s="7" t="s">
        <v>23</v>
      </c>
      <c r="AI92" s="12">
        <v>4600</v>
      </c>
      <c r="AJ92" s="7">
        <v>0.84</v>
      </c>
      <c r="AK92" s="7">
        <v>0.45</v>
      </c>
      <c r="AL92" s="7">
        <v>0.75</v>
      </c>
      <c r="AM92" s="7">
        <f t="shared" si="62"/>
        <v>2</v>
      </c>
      <c r="AN92" s="7">
        <v>0.7</v>
      </c>
      <c r="AO92" s="8">
        <f t="shared" si="13"/>
        <v>0.6</v>
      </c>
      <c r="AP92" s="9">
        <f t="shared" si="14"/>
        <v>2760</v>
      </c>
      <c r="AQ92" s="8">
        <f t="shared" si="15"/>
        <v>2</v>
      </c>
      <c r="AR92" s="8">
        <f t="shared" si="16"/>
        <v>5.0000000000000009</v>
      </c>
      <c r="AS92" s="8">
        <f t="shared" si="17"/>
        <v>3.333333333333333</v>
      </c>
    </row>
    <row r="93" spans="1:45" ht="15.75" customHeight="1" x14ac:dyDescent="0.25">
      <c r="A93" s="25"/>
      <c r="B93" s="25"/>
      <c r="C93" s="25"/>
      <c r="D93" s="7" t="s">
        <v>22</v>
      </c>
      <c r="E93" s="7">
        <v>5400</v>
      </c>
      <c r="F93" s="7">
        <v>1</v>
      </c>
      <c r="G93" s="7">
        <v>0.35</v>
      </c>
      <c r="H93" s="7">
        <v>0.6</v>
      </c>
      <c r="I93" s="7">
        <f t="shared" si="67"/>
        <v>2.5</v>
      </c>
      <c r="J93" s="12">
        <v>0.55000000000000004</v>
      </c>
      <c r="K93" s="8">
        <f t="shared" si="8"/>
        <v>0.5</v>
      </c>
      <c r="L93" s="9">
        <f t="shared" si="9"/>
        <v>2700</v>
      </c>
      <c r="M93" s="8">
        <f t="shared" si="10"/>
        <v>2.5</v>
      </c>
      <c r="N93" s="8">
        <f t="shared" si="11"/>
        <v>6</v>
      </c>
      <c r="O93" s="8">
        <f t="shared" si="12"/>
        <v>4.2857142857142856</v>
      </c>
      <c r="P93" s="25"/>
      <c r="Q93" s="25"/>
      <c r="R93" s="25"/>
      <c r="S93" s="7" t="s">
        <v>23</v>
      </c>
      <c r="T93" s="22">
        <v>3600</v>
      </c>
      <c r="U93" s="7">
        <v>0.6</v>
      </c>
      <c r="V93" s="7">
        <v>0.4</v>
      </c>
      <c r="W93" s="7">
        <v>0.6</v>
      </c>
      <c r="X93" s="7">
        <f t="shared" si="63"/>
        <v>2.5</v>
      </c>
      <c r="Y93" s="7">
        <v>0.45</v>
      </c>
      <c r="Z93" s="8">
        <f t="shared" si="64"/>
        <v>0.39999999999999991</v>
      </c>
      <c r="AA93" s="9">
        <f t="shared" si="65"/>
        <v>1439.9999999999998</v>
      </c>
      <c r="AB93" s="8">
        <f t="shared" si="66"/>
        <v>2.5</v>
      </c>
      <c r="AC93" s="8">
        <f t="shared" si="4"/>
        <v>7.5000000000000018</v>
      </c>
      <c r="AD93" s="8">
        <f t="shared" si="5"/>
        <v>3.75</v>
      </c>
      <c r="AE93" s="25"/>
      <c r="AF93" s="25"/>
      <c r="AG93" s="25"/>
      <c r="AH93" s="7" t="s">
        <v>24</v>
      </c>
      <c r="AI93" s="12">
        <v>2710</v>
      </c>
      <c r="AJ93" s="7">
        <v>0.6</v>
      </c>
      <c r="AK93" s="7">
        <v>0.3</v>
      </c>
      <c r="AL93" s="7">
        <v>0.6</v>
      </c>
      <c r="AM93" s="7">
        <f t="shared" si="62"/>
        <v>2.5</v>
      </c>
      <c r="AN93" s="7">
        <v>0.4</v>
      </c>
      <c r="AO93" s="8">
        <f t="shared" si="13"/>
        <v>0.6</v>
      </c>
      <c r="AP93" s="9">
        <f t="shared" si="14"/>
        <v>1626</v>
      </c>
      <c r="AQ93" s="8">
        <f t="shared" si="15"/>
        <v>2.5</v>
      </c>
      <c r="AR93" s="8">
        <f t="shared" si="16"/>
        <v>5</v>
      </c>
      <c r="AS93" s="8">
        <f t="shared" si="17"/>
        <v>5</v>
      </c>
    </row>
    <row r="94" spans="1:45" ht="15.75" customHeight="1" x14ac:dyDescent="0.25">
      <c r="A94" s="25"/>
      <c r="B94" s="25"/>
      <c r="C94" s="25"/>
      <c r="D94" s="7" t="s">
        <v>23</v>
      </c>
      <c r="E94" s="7">
        <v>4400</v>
      </c>
      <c r="F94" s="12">
        <v>0.9</v>
      </c>
      <c r="G94" s="7">
        <v>0.35</v>
      </c>
      <c r="H94" s="7">
        <v>0.75</v>
      </c>
      <c r="I94" s="7">
        <f t="shared" si="67"/>
        <v>2</v>
      </c>
      <c r="J94" s="12">
        <v>0.55000000000000004</v>
      </c>
      <c r="K94" s="8">
        <f t="shared" si="8"/>
        <v>0.8</v>
      </c>
      <c r="L94" s="9">
        <f t="shared" si="9"/>
        <v>3520</v>
      </c>
      <c r="M94" s="8">
        <f t="shared" si="10"/>
        <v>2</v>
      </c>
      <c r="N94" s="8">
        <f t="shared" si="11"/>
        <v>3.75</v>
      </c>
      <c r="O94" s="8">
        <f t="shared" si="12"/>
        <v>4.2857142857142856</v>
      </c>
      <c r="P94" s="25"/>
      <c r="Q94" s="25"/>
      <c r="R94" s="25"/>
      <c r="S94" s="7" t="s">
        <v>24</v>
      </c>
      <c r="T94" s="22">
        <v>2400</v>
      </c>
      <c r="U94" s="7">
        <v>0.5</v>
      </c>
      <c r="V94" s="7">
        <v>0.35</v>
      </c>
      <c r="W94" s="7">
        <v>0.55000000000000004</v>
      </c>
      <c r="X94" s="7">
        <f t="shared" si="63"/>
        <v>2.7272727272727271</v>
      </c>
      <c r="Y94" s="7">
        <v>0.4</v>
      </c>
      <c r="Z94" s="8">
        <f t="shared" si="64"/>
        <v>0.40000000000000013</v>
      </c>
      <c r="AA94" s="9">
        <f t="shared" si="65"/>
        <v>960.00000000000034</v>
      </c>
      <c r="AB94" s="8">
        <f t="shared" si="66"/>
        <v>2.7272727272727271</v>
      </c>
      <c r="AC94" s="8">
        <f t="shared" si="4"/>
        <v>7.4999999999999973</v>
      </c>
      <c r="AD94" s="8">
        <f t="shared" si="5"/>
        <v>4.2857142857142856</v>
      </c>
      <c r="AE94" s="25"/>
      <c r="AF94" s="25"/>
      <c r="AG94" s="25"/>
      <c r="AH94" s="7" t="s">
        <v>25</v>
      </c>
      <c r="AI94" s="12">
        <v>4185</v>
      </c>
      <c r="AJ94" s="7">
        <v>0.6</v>
      </c>
      <c r="AK94" s="7">
        <v>0.45</v>
      </c>
      <c r="AL94" s="7">
        <v>0.65</v>
      </c>
      <c r="AM94" s="7">
        <f t="shared" si="62"/>
        <v>2.3076923076923075</v>
      </c>
      <c r="AN94" s="7">
        <v>0.6</v>
      </c>
      <c r="AO94" s="8">
        <f t="shared" si="13"/>
        <v>0.4</v>
      </c>
      <c r="AP94" s="9">
        <f t="shared" si="14"/>
        <v>1674</v>
      </c>
      <c r="AQ94" s="8">
        <f t="shared" si="15"/>
        <v>2.3076923076923075</v>
      </c>
      <c r="AR94" s="8">
        <f t="shared" si="16"/>
        <v>5</v>
      </c>
      <c r="AS94" s="8">
        <f t="shared" si="17"/>
        <v>3.333333333333333</v>
      </c>
    </row>
    <row r="95" spans="1:45" ht="15.75" customHeight="1" x14ac:dyDescent="0.25">
      <c r="A95" s="25"/>
      <c r="B95" s="25"/>
      <c r="C95" s="25"/>
      <c r="D95" s="7" t="s">
        <v>24</v>
      </c>
      <c r="E95" s="7">
        <v>2300</v>
      </c>
      <c r="F95" s="7">
        <v>0.85</v>
      </c>
      <c r="G95" s="7">
        <v>0.4</v>
      </c>
      <c r="H95" s="7">
        <v>0.68</v>
      </c>
      <c r="I95" s="7">
        <f t="shared" si="67"/>
        <v>2.2058823529411762</v>
      </c>
      <c r="J95" s="7">
        <v>0.5</v>
      </c>
      <c r="K95" s="8">
        <f t="shared" si="8"/>
        <v>0.56000000000000005</v>
      </c>
      <c r="L95" s="9">
        <f t="shared" si="9"/>
        <v>1288.0000000000002</v>
      </c>
      <c r="M95" s="8">
        <f t="shared" si="10"/>
        <v>2.2058823529411762</v>
      </c>
      <c r="N95" s="8">
        <f t="shared" si="11"/>
        <v>5.3571428571428568</v>
      </c>
      <c r="O95" s="8">
        <f t="shared" si="12"/>
        <v>3.75</v>
      </c>
      <c r="P95" s="25"/>
      <c r="Q95" s="25"/>
      <c r="R95" s="25"/>
      <c r="S95" s="7" t="s">
        <v>25</v>
      </c>
      <c r="T95" s="22">
        <v>1040</v>
      </c>
      <c r="U95" s="7">
        <v>0.5</v>
      </c>
      <c r="V95" s="7">
        <v>0.35</v>
      </c>
      <c r="W95" s="7">
        <v>0.5</v>
      </c>
      <c r="X95" s="7">
        <f t="shared" si="63"/>
        <v>3</v>
      </c>
      <c r="Y95" s="7">
        <v>0.4</v>
      </c>
      <c r="Z95" s="8">
        <f t="shared" si="64"/>
        <v>0.30000000000000004</v>
      </c>
      <c r="AA95" s="9">
        <f t="shared" si="65"/>
        <v>312.00000000000006</v>
      </c>
      <c r="AB95" s="8">
        <f t="shared" si="66"/>
        <v>3</v>
      </c>
      <c r="AC95" s="8">
        <f t="shared" si="4"/>
        <v>9.9999999999999982</v>
      </c>
      <c r="AD95" s="8">
        <f t="shared" si="5"/>
        <v>4.2857142857142856</v>
      </c>
      <c r="AE95" s="25"/>
      <c r="AF95" s="25"/>
      <c r="AG95" s="25"/>
      <c r="AH95" s="7" t="s">
        <v>26</v>
      </c>
      <c r="AI95" s="12">
        <v>4210</v>
      </c>
      <c r="AJ95" s="7">
        <v>0.6</v>
      </c>
      <c r="AK95" s="7">
        <v>0.45</v>
      </c>
      <c r="AL95" s="7">
        <v>0.67</v>
      </c>
      <c r="AM95" s="7">
        <f t="shared" si="62"/>
        <v>2.2388059701492535</v>
      </c>
      <c r="AN95" s="7">
        <v>0.6</v>
      </c>
      <c r="AO95" s="8">
        <f t="shared" si="13"/>
        <v>0.44000000000000006</v>
      </c>
      <c r="AP95" s="9">
        <f t="shared" si="14"/>
        <v>1852.4000000000003</v>
      </c>
      <c r="AQ95" s="8">
        <f t="shared" si="15"/>
        <v>2.2388059701492535</v>
      </c>
      <c r="AR95" s="8">
        <f t="shared" si="16"/>
        <v>7.5</v>
      </c>
      <c r="AS95" s="8">
        <f t="shared" si="17"/>
        <v>3.333333333333333</v>
      </c>
    </row>
    <row r="96" spans="1:45" ht="15.75" customHeight="1" x14ac:dyDescent="0.25">
      <c r="A96" s="25"/>
      <c r="B96" s="25"/>
      <c r="C96" s="25"/>
      <c r="D96" s="7" t="s">
        <v>25</v>
      </c>
      <c r="E96" s="7">
        <v>1360</v>
      </c>
      <c r="F96" s="7">
        <v>0.68</v>
      </c>
      <c r="G96" s="7">
        <v>0.4</v>
      </c>
      <c r="H96" s="7">
        <v>0.6</v>
      </c>
      <c r="I96" s="7">
        <f t="shared" si="67"/>
        <v>2.5</v>
      </c>
      <c r="J96" s="7">
        <v>0.5</v>
      </c>
      <c r="K96" s="8">
        <f t="shared" si="8"/>
        <v>0.39999999999999991</v>
      </c>
      <c r="L96" s="9">
        <f t="shared" si="9"/>
        <v>543.99999999999989</v>
      </c>
      <c r="M96" s="8">
        <f t="shared" si="10"/>
        <v>2.5</v>
      </c>
      <c r="N96" s="8">
        <f t="shared" si="11"/>
        <v>7.5000000000000018</v>
      </c>
      <c r="O96" s="8">
        <f t="shared" si="12"/>
        <v>3.75</v>
      </c>
      <c r="P96" s="25"/>
      <c r="Q96" s="25"/>
      <c r="R96" s="25"/>
      <c r="S96" s="7" t="s">
        <v>26</v>
      </c>
      <c r="T96" s="22">
        <v>1040</v>
      </c>
      <c r="U96" s="7">
        <v>0.5</v>
      </c>
      <c r="V96" s="7">
        <v>0.35</v>
      </c>
      <c r="W96" s="7">
        <v>0.5</v>
      </c>
      <c r="X96" s="7">
        <f t="shared" si="63"/>
        <v>3</v>
      </c>
      <c r="Y96" s="7">
        <v>0.4</v>
      </c>
      <c r="Z96" s="8">
        <f t="shared" si="64"/>
        <v>0.30000000000000004</v>
      </c>
      <c r="AA96" s="9">
        <f t="shared" si="65"/>
        <v>312.00000000000006</v>
      </c>
      <c r="AB96" s="8">
        <f t="shared" si="66"/>
        <v>3</v>
      </c>
      <c r="AC96" s="8">
        <f t="shared" si="4"/>
        <v>9.9999999999999982</v>
      </c>
      <c r="AD96" s="8">
        <f t="shared" si="5"/>
        <v>4.2857142857142856</v>
      </c>
      <c r="AE96" s="25"/>
      <c r="AF96" s="25"/>
      <c r="AG96" s="25"/>
      <c r="AH96" s="32" t="s">
        <v>27</v>
      </c>
      <c r="AI96" s="33"/>
      <c r="AJ96" s="33"/>
      <c r="AK96" s="33"/>
      <c r="AL96" s="33"/>
      <c r="AM96" s="33"/>
      <c r="AN96" s="34"/>
      <c r="AO96" s="8">
        <f t="shared" si="13"/>
        <v>0</v>
      </c>
      <c r="AP96" s="9">
        <f t="shared" si="14"/>
        <v>0</v>
      </c>
      <c r="AQ96" s="8" t="e">
        <f t="shared" si="15"/>
        <v>#DIV/0!</v>
      </c>
      <c r="AR96" s="8">
        <f t="shared" si="16"/>
        <v>6.8181818181818175</v>
      </c>
      <c r="AS96" s="8" t="e">
        <f t="shared" si="17"/>
        <v>#DIV/0!</v>
      </c>
    </row>
    <row r="97" spans="1:45" ht="15.75" customHeight="1" x14ac:dyDescent="0.3">
      <c r="A97" s="25"/>
      <c r="B97" s="25"/>
      <c r="C97" s="25"/>
      <c r="D97" s="7" t="s">
        <v>26</v>
      </c>
      <c r="E97" s="7">
        <v>1400</v>
      </c>
      <c r="F97" s="11">
        <v>0.7</v>
      </c>
      <c r="G97" s="7">
        <v>0.45</v>
      </c>
      <c r="H97" s="7">
        <v>0.6</v>
      </c>
      <c r="I97" s="7">
        <f t="shared" si="67"/>
        <v>2.5</v>
      </c>
      <c r="J97" s="7">
        <v>0.55000000000000004</v>
      </c>
      <c r="K97" s="8">
        <f t="shared" si="8"/>
        <v>0.29999999999999993</v>
      </c>
      <c r="L97" s="9">
        <f t="shared" si="9"/>
        <v>419.99999999999989</v>
      </c>
      <c r="M97" s="8">
        <f t="shared" si="10"/>
        <v>2.5</v>
      </c>
      <c r="N97" s="8">
        <f t="shared" si="11"/>
        <v>10.000000000000002</v>
      </c>
      <c r="O97" s="8">
        <f t="shared" si="12"/>
        <v>3.333333333333333</v>
      </c>
      <c r="P97" s="25"/>
      <c r="Q97" s="25"/>
      <c r="R97" s="25"/>
      <c r="S97" s="32" t="s">
        <v>27</v>
      </c>
      <c r="T97" s="33"/>
      <c r="U97" s="33"/>
      <c r="V97" s="33"/>
      <c r="W97" s="33"/>
      <c r="X97" s="33"/>
      <c r="Y97" s="34"/>
      <c r="Z97" s="8">
        <f t="shared" si="64"/>
        <v>0</v>
      </c>
      <c r="AA97" s="9">
        <f t="shared" si="65"/>
        <v>0</v>
      </c>
      <c r="AB97" s="8" t="e">
        <f t="shared" si="66"/>
        <v>#DIV/0!</v>
      </c>
      <c r="AC97" s="8" t="e">
        <f t="shared" si="4"/>
        <v>#DIV/0!</v>
      </c>
      <c r="AD97" s="8" t="e">
        <f t="shared" si="5"/>
        <v>#DIV/0!</v>
      </c>
      <c r="AE97" s="25"/>
      <c r="AF97" s="25"/>
      <c r="AG97" s="25"/>
      <c r="AH97" s="7" t="s">
        <v>16</v>
      </c>
      <c r="AI97" s="12">
        <v>2380</v>
      </c>
      <c r="AJ97" s="7">
        <v>0.65</v>
      </c>
      <c r="AK97" s="7">
        <v>0.35</v>
      </c>
      <c r="AL97" s="7">
        <v>0.6</v>
      </c>
      <c r="AM97" s="7">
        <f t="shared" ref="AM97:AM103" si="68">1.5/AL97</f>
        <v>2.5</v>
      </c>
      <c r="AN97" s="7">
        <v>0.45</v>
      </c>
      <c r="AO97" s="8">
        <f t="shared" si="13"/>
        <v>0.5</v>
      </c>
      <c r="AP97" s="9">
        <f t="shared" si="14"/>
        <v>1190</v>
      </c>
      <c r="AQ97" s="8">
        <f t="shared" si="15"/>
        <v>2.5</v>
      </c>
      <c r="AR97" s="8" t="e">
        <f t="shared" si="16"/>
        <v>#DIV/0!</v>
      </c>
      <c r="AS97" s="8">
        <f t="shared" si="17"/>
        <v>4.2857142857142856</v>
      </c>
    </row>
    <row r="98" spans="1:45" ht="15.75" customHeight="1" x14ac:dyDescent="0.25">
      <c r="A98" s="25"/>
      <c r="B98" s="25"/>
      <c r="C98" s="25"/>
      <c r="D98" s="32" t="s">
        <v>27</v>
      </c>
      <c r="E98" s="33"/>
      <c r="F98" s="33"/>
      <c r="G98" s="33"/>
      <c r="H98" s="33"/>
      <c r="I98" s="33"/>
      <c r="J98" s="34"/>
      <c r="K98" s="8">
        <f t="shared" si="8"/>
        <v>0</v>
      </c>
      <c r="L98" s="9">
        <f t="shared" si="9"/>
        <v>0</v>
      </c>
      <c r="M98" s="8" t="e">
        <f t="shared" si="10"/>
        <v>#DIV/0!</v>
      </c>
      <c r="N98" s="8" t="e">
        <f t="shared" si="11"/>
        <v>#DIV/0!</v>
      </c>
      <c r="O98" s="8" t="e">
        <f t="shared" si="12"/>
        <v>#DIV/0!</v>
      </c>
      <c r="P98" s="25"/>
      <c r="Q98" s="25"/>
      <c r="R98" s="25"/>
      <c r="S98" s="7" t="s">
        <v>16</v>
      </c>
      <c r="T98" s="22">
        <v>1120</v>
      </c>
      <c r="U98" s="7">
        <v>0.6</v>
      </c>
      <c r="V98" s="7">
        <v>0.3</v>
      </c>
      <c r="W98" s="22">
        <v>0.55000000000000004</v>
      </c>
      <c r="X98" s="7">
        <f t="shared" ref="X98:X104" si="69">1.5/W98</f>
        <v>2.7272727272727271</v>
      </c>
      <c r="Y98" s="7">
        <v>0.45</v>
      </c>
      <c r="Z98" s="8">
        <f t="shared" si="64"/>
        <v>0.50000000000000011</v>
      </c>
      <c r="AA98" s="9">
        <f t="shared" si="65"/>
        <v>560.00000000000011</v>
      </c>
      <c r="AB98" s="8">
        <f t="shared" si="66"/>
        <v>2.7272727272727271</v>
      </c>
      <c r="AC98" s="8">
        <f t="shared" si="4"/>
        <v>5.9999999999999982</v>
      </c>
      <c r="AD98" s="8">
        <f t="shared" si="5"/>
        <v>5</v>
      </c>
      <c r="AE98" s="25"/>
      <c r="AF98" s="25"/>
      <c r="AG98" s="25"/>
      <c r="AH98" s="7" t="s">
        <v>19</v>
      </c>
      <c r="AI98" s="12">
        <v>2780</v>
      </c>
      <c r="AJ98" s="7">
        <v>0.65</v>
      </c>
      <c r="AK98" s="7">
        <v>0.35</v>
      </c>
      <c r="AL98" s="7">
        <v>0.6</v>
      </c>
      <c r="AM98" s="7">
        <f t="shared" si="68"/>
        <v>2.5</v>
      </c>
      <c r="AN98" s="7">
        <v>0.45</v>
      </c>
      <c r="AO98" s="8">
        <f t="shared" si="13"/>
        <v>0.5</v>
      </c>
      <c r="AP98" s="9">
        <f t="shared" si="14"/>
        <v>1390</v>
      </c>
      <c r="AQ98" s="8">
        <f t="shared" si="15"/>
        <v>2.5</v>
      </c>
      <c r="AR98" s="8">
        <f t="shared" si="16"/>
        <v>6</v>
      </c>
      <c r="AS98" s="8">
        <f t="shared" si="17"/>
        <v>4.2857142857142856</v>
      </c>
    </row>
    <row r="99" spans="1:45" ht="15.75" customHeight="1" x14ac:dyDescent="0.25">
      <c r="A99" s="25"/>
      <c r="B99" s="25"/>
      <c r="C99" s="25"/>
      <c r="D99" s="7" t="s">
        <v>16</v>
      </c>
      <c r="E99" s="7">
        <v>4000</v>
      </c>
      <c r="F99" s="7">
        <v>0.6</v>
      </c>
      <c r="G99" s="7">
        <v>0.3</v>
      </c>
      <c r="H99" s="7">
        <v>0.7</v>
      </c>
      <c r="I99" s="7">
        <f t="shared" ref="I99:I105" si="70">1.5/H99</f>
        <v>2.1428571428571428</v>
      </c>
      <c r="J99" s="7">
        <v>0.65</v>
      </c>
      <c r="K99" s="8">
        <f t="shared" si="8"/>
        <v>0.79999999999999993</v>
      </c>
      <c r="L99" s="9">
        <f t="shared" si="9"/>
        <v>3199.9999999999995</v>
      </c>
      <c r="M99" s="8">
        <f t="shared" si="10"/>
        <v>2.1428571428571428</v>
      </c>
      <c r="N99" s="8">
        <f t="shared" si="11"/>
        <v>3.7500000000000004</v>
      </c>
      <c r="O99" s="8">
        <f t="shared" si="12"/>
        <v>5</v>
      </c>
      <c r="P99" s="25"/>
      <c r="Q99" s="25"/>
      <c r="R99" s="25"/>
      <c r="S99" s="7" t="s">
        <v>19</v>
      </c>
      <c r="T99" s="22">
        <v>1200</v>
      </c>
      <c r="U99" s="7">
        <v>0.6</v>
      </c>
      <c r="V99" s="7">
        <v>0.3</v>
      </c>
      <c r="W99" s="7">
        <v>0.55000000000000004</v>
      </c>
      <c r="X99" s="7">
        <f t="shared" si="69"/>
        <v>2.7272727272727271</v>
      </c>
      <c r="Y99" s="7">
        <v>0.45</v>
      </c>
      <c r="Z99" s="8">
        <f t="shared" si="64"/>
        <v>0.50000000000000011</v>
      </c>
      <c r="AA99" s="9">
        <f t="shared" si="65"/>
        <v>600.00000000000011</v>
      </c>
      <c r="AB99" s="8">
        <f t="shared" si="66"/>
        <v>2.7272727272727271</v>
      </c>
      <c r="AC99" s="8">
        <f t="shared" si="4"/>
        <v>5.9999999999999982</v>
      </c>
      <c r="AD99" s="8">
        <f t="shared" si="5"/>
        <v>5</v>
      </c>
      <c r="AE99" s="25"/>
      <c r="AF99" s="25"/>
      <c r="AG99" s="25"/>
      <c r="AH99" s="7" t="s">
        <v>22</v>
      </c>
      <c r="AI99" s="12">
        <v>2605</v>
      </c>
      <c r="AJ99" s="7">
        <v>0.65</v>
      </c>
      <c r="AK99" s="7">
        <v>0.35</v>
      </c>
      <c r="AL99" s="7">
        <v>0.6</v>
      </c>
      <c r="AM99" s="7">
        <f t="shared" si="68"/>
        <v>2.5</v>
      </c>
      <c r="AN99" s="7">
        <v>0.45</v>
      </c>
      <c r="AO99" s="8">
        <f t="shared" si="13"/>
        <v>0.5</v>
      </c>
      <c r="AP99" s="9">
        <f t="shared" si="14"/>
        <v>1302.5</v>
      </c>
      <c r="AQ99" s="8">
        <f t="shared" si="15"/>
        <v>2.5</v>
      </c>
      <c r="AR99" s="8">
        <f t="shared" si="16"/>
        <v>6</v>
      </c>
      <c r="AS99" s="8">
        <f t="shared" si="17"/>
        <v>4.2857142857142856</v>
      </c>
    </row>
    <row r="100" spans="1:45" ht="15.75" customHeight="1" x14ac:dyDescent="0.25">
      <c r="A100" s="25"/>
      <c r="B100" s="25"/>
      <c r="C100" s="25"/>
      <c r="D100" s="7" t="s">
        <v>19</v>
      </c>
      <c r="E100" s="7">
        <v>3500</v>
      </c>
      <c r="F100" s="7">
        <v>0.6</v>
      </c>
      <c r="G100" s="7">
        <v>0.3</v>
      </c>
      <c r="H100" s="7">
        <v>0.82</v>
      </c>
      <c r="I100" s="7">
        <f t="shared" si="70"/>
        <v>1.8292682926829269</v>
      </c>
      <c r="J100" s="7">
        <v>0.65</v>
      </c>
      <c r="K100" s="8">
        <f t="shared" si="8"/>
        <v>1.04</v>
      </c>
      <c r="L100" s="9">
        <f t="shared" si="9"/>
        <v>3640</v>
      </c>
      <c r="M100" s="8">
        <f t="shared" si="10"/>
        <v>1.8292682926829269</v>
      </c>
      <c r="N100" s="8">
        <f t="shared" si="11"/>
        <v>2.8846153846153846</v>
      </c>
      <c r="O100" s="8">
        <f t="shared" si="12"/>
        <v>5</v>
      </c>
      <c r="P100" s="25"/>
      <c r="Q100" s="25"/>
      <c r="R100" s="25"/>
      <c r="S100" s="7" t="s">
        <v>22</v>
      </c>
      <c r="T100" s="22">
        <v>3500</v>
      </c>
      <c r="U100" s="7">
        <v>0.68</v>
      </c>
      <c r="V100" s="7">
        <v>0.4</v>
      </c>
      <c r="W100" s="7">
        <v>0.6</v>
      </c>
      <c r="X100" s="7">
        <f t="shared" si="69"/>
        <v>2.5</v>
      </c>
      <c r="Y100" s="7">
        <v>0.45</v>
      </c>
      <c r="Z100" s="8">
        <f t="shared" si="64"/>
        <v>0.39999999999999991</v>
      </c>
      <c r="AA100" s="9">
        <f t="shared" si="65"/>
        <v>1399.9999999999998</v>
      </c>
      <c r="AB100" s="8">
        <f t="shared" si="66"/>
        <v>2.5</v>
      </c>
      <c r="AC100" s="8">
        <f t="shared" si="4"/>
        <v>7.5000000000000018</v>
      </c>
      <c r="AD100" s="8">
        <f t="shared" si="5"/>
        <v>3.75</v>
      </c>
      <c r="AE100" s="25"/>
      <c r="AF100" s="25"/>
      <c r="AG100" s="25"/>
      <c r="AH100" s="7" t="s">
        <v>23</v>
      </c>
      <c r="AI100" s="12">
        <v>2600</v>
      </c>
      <c r="AJ100" s="7">
        <v>0.65</v>
      </c>
      <c r="AK100" s="7">
        <v>0.35</v>
      </c>
      <c r="AL100" s="7">
        <v>0.6</v>
      </c>
      <c r="AM100" s="7">
        <f t="shared" si="68"/>
        <v>2.5</v>
      </c>
      <c r="AN100" s="7">
        <v>0.45</v>
      </c>
      <c r="AO100" s="8">
        <f t="shared" si="13"/>
        <v>0.5</v>
      </c>
      <c r="AP100" s="9">
        <f t="shared" si="14"/>
        <v>1300</v>
      </c>
      <c r="AQ100" s="8">
        <f t="shared" si="15"/>
        <v>2.5</v>
      </c>
      <c r="AR100" s="8">
        <f t="shared" si="16"/>
        <v>6</v>
      </c>
      <c r="AS100" s="8">
        <f t="shared" si="17"/>
        <v>4.2857142857142856</v>
      </c>
    </row>
    <row r="101" spans="1:45" ht="15.75" customHeight="1" x14ac:dyDescent="0.25">
      <c r="A101" s="25"/>
      <c r="B101" s="25"/>
      <c r="C101" s="25"/>
      <c r="D101" s="7" t="s">
        <v>22</v>
      </c>
      <c r="E101" s="7">
        <v>3800</v>
      </c>
      <c r="F101" s="7">
        <v>0.65</v>
      </c>
      <c r="G101" s="7">
        <v>0.45</v>
      </c>
      <c r="H101" s="7">
        <v>0.82</v>
      </c>
      <c r="I101" s="7">
        <f t="shared" si="70"/>
        <v>1.8292682926829269</v>
      </c>
      <c r="J101" s="7">
        <v>0.5</v>
      </c>
      <c r="K101" s="8">
        <f t="shared" si="8"/>
        <v>0.73999999999999988</v>
      </c>
      <c r="L101" s="9">
        <f t="shared" si="9"/>
        <v>2811.9999999999995</v>
      </c>
      <c r="M101" s="8">
        <f t="shared" si="10"/>
        <v>1.8292682926829269</v>
      </c>
      <c r="N101" s="8">
        <f t="shared" si="11"/>
        <v>4.0540540540540544</v>
      </c>
      <c r="O101" s="8">
        <f t="shared" si="12"/>
        <v>3.333333333333333</v>
      </c>
      <c r="P101" s="25"/>
      <c r="Q101" s="25"/>
      <c r="R101" s="25"/>
      <c r="S101" s="7" t="s">
        <v>23</v>
      </c>
      <c r="T101" s="7">
        <v>1500</v>
      </c>
      <c r="U101" s="7">
        <v>0.6</v>
      </c>
      <c r="V101" s="7">
        <v>0.3</v>
      </c>
      <c r="W101" s="7">
        <v>0.6</v>
      </c>
      <c r="X101" s="7">
        <f t="shared" si="69"/>
        <v>2.5</v>
      </c>
      <c r="Y101" s="7">
        <v>0.6</v>
      </c>
      <c r="Z101" s="8">
        <f t="shared" si="64"/>
        <v>0.6</v>
      </c>
      <c r="AA101" s="9">
        <f t="shared" si="65"/>
        <v>900</v>
      </c>
      <c r="AB101" s="8">
        <f t="shared" si="66"/>
        <v>2.5</v>
      </c>
      <c r="AC101" s="8">
        <f t="shared" si="4"/>
        <v>5</v>
      </c>
      <c r="AD101" s="8">
        <f t="shared" si="5"/>
        <v>5</v>
      </c>
      <c r="AE101" s="25"/>
      <c r="AF101" s="25"/>
      <c r="AG101" s="25"/>
      <c r="AH101" s="7" t="s">
        <v>24</v>
      </c>
      <c r="AI101" s="12">
        <v>2900</v>
      </c>
      <c r="AJ101" s="7">
        <v>0.65</v>
      </c>
      <c r="AK101" s="7">
        <v>0.35</v>
      </c>
      <c r="AL101" s="7">
        <v>0.6</v>
      </c>
      <c r="AM101" s="7">
        <f t="shared" si="68"/>
        <v>2.5</v>
      </c>
      <c r="AN101" s="7">
        <v>0.45</v>
      </c>
      <c r="AO101" s="8">
        <f t="shared" si="13"/>
        <v>0.5</v>
      </c>
      <c r="AP101" s="9">
        <f t="shared" si="14"/>
        <v>1450</v>
      </c>
      <c r="AQ101" s="8">
        <f t="shared" si="15"/>
        <v>2.5</v>
      </c>
      <c r="AR101" s="8">
        <f t="shared" si="16"/>
        <v>6</v>
      </c>
      <c r="AS101" s="8">
        <f t="shared" si="17"/>
        <v>4.2857142857142856</v>
      </c>
    </row>
    <row r="102" spans="1:45" ht="15.75" customHeight="1" x14ac:dyDescent="0.25">
      <c r="A102" s="25"/>
      <c r="B102" s="25"/>
      <c r="C102" s="25"/>
      <c r="D102" s="7" t="s">
        <v>23</v>
      </c>
      <c r="E102" s="7">
        <v>4000</v>
      </c>
      <c r="F102" s="7">
        <v>0.6</v>
      </c>
      <c r="G102" s="7">
        <v>0.45</v>
      </c>
      <c r="H102" s="7">
        <v>0.7</v>
      </c>
      <c r="I102" s="7">
        <f t="shared" si="70"/>
        <v>2.1428571428571428</v>
      </c>
      <c r="J102" s="7">
        <v>0.5</v>
      </c>
      <c r="K102" s="8">
        <f t="shared" si="8"/>
        <v>0.49999999999999989</v>
      </c>
      <c r="L102" s="9">
        <f t="shared" si="9"/>
        <v>1999.9999999999995</v>
      </c>
      <c r="M102" s="8">
        <f t="shared" si="10"/>
        <v>2.1428571428571428</v>
      </c>
      <c r="N102" s="8">
        <f t="shared" si="11"/>
        <v>6.0000000000000018</v>
      </c>
      <c r="O102" s="8">
        <f t="shared" si="12"/>
        <v>3.333333333333333</v>
      </c>
      <c r="P102" s="25"/>
      <c r="Q102" s="25"/>
      <c r="R102" s="25"/>
      <c r="S102" s="7" t="s">
        <v>24</v>
      </c>
      <c r="T102" s="7">
        <v>1600</v>
      </c>
      <c r="U102" s="7">
        <v>0.6</v>
      </c>
      <c r="V102" s="7">
        <v>0.3</v>
      </c>
      <c r="W102" s="7">
        <v>0.6</v>
      </c>
      <c r="X102" s="7">
        <f t="shared" si="69"/>
        <v>2.5</v>
      </c>
      <c r="Y102" s="7">
        <v>0.65</v>
      </c>
      <c r="Z102" s="8">
        <f t="shared" si="64"/>
        <v>0.6</v>
      </c>
      <c r="AA102" s="9">
        <f t="shared" si="65"/>
        <v>960</v>
      </c>
      <c r="AB102" s="8">
        <f t="shared" si="66"/>
        <v>2.5</v>
      </c>
      <c r="AC102" s="8">
        <f t="shared" si="4"/>
        <v>5</v>
      </c>
      <c r="AD102" s="8">
        <f t="shared" si="5"/>
        <v>5</v>
      </c>
      <c r="AE102" s="25"/>
      <c r="AF102" s="25"/>
      <c r="AG102" s="25"/>
      <c r="AH102" s="7" t="s">
        <v>25</v>
      </c>
      <c r="AI102" s="12">
        <v>4390</v>
      </c>
      <c r="AJ102" s="7">
        <v>0.75</v>
      </c>
      <c r="AK102" s="7">
        <v>0.35</v>
      </c>
      <c r="AL102" s="7">
        <v>0.75</v>
      </c>
      <c r="AM102" s="7">
        <f t="shared" si="68"/>
        <v>2</v>
      </c>
      <c r="AN102" s="7">
        <v>0.6</v>
      </c>
      <c r="AO102" s="8">
        <f t="shared" si="13"/>
        <v>0.8</v>
      </c>
      <c r="AP102" s="9">
        <f t="shared" si="14"/>
        <v>3512</v>
      </c>
      <c r="AQ102" s="8">
        <f t="shared" si="15"/>
        <v>2</v>
      </c>
      <c r="AR102" s="8">
        <f t="shared" si="16"/>
        <v>6</v>
      </c>
      <c r="AS102" s="8">
        <f t="shared" si="17"/>
        <v>4.2857142857142856</v>
      </c>
    </row>
    <row r="103" spans="1:45" ht="15.75" customHeight="1" x14ac:dyDescent="0.3">
      <c r="A103" s="25"/>
      <c r="B103" s="25"/>
      <c r="C103" s="25"/>
      <c r="D103" s="7" t="s">
        <v>24</v>
      </c>
      <c r="E103" s="7">
        <v>4000</v>
      </c>
      <c r="F103" s="11">
        <v>0.75</v>
      </c>
      <c r="G103" s="7">
        <v>0.45</v>
      </c>
      <c r="H103" s="7">
        <v>0.7</v>
      </c>
      <c r="I103" s="7">
        <f t="shared" si="70"/>
        <v>2.1428571428571428</v>
      </c>
      <c r="J103" s="7">
        <v>0.5</v>
      </c>
      <c r="K103" s="8">
        <f t="shared" si="8"/>
        <v>0.49999999999999989</v>
      </c>
      <c r="L103" s="9">
        <f t="shared" si="9"/>
        <v>1999.9999999999995</v>
      </c>
      <c r="M103" s="8">
        <f t="shared" si="10"/>
        <v>2.1428571428571428</v>
      </c>
      <c r="N103" s="8">
        <f t="shared" si="11"/>
        <v>6.0000000000000018</v>
      </c>
      <c r="O103" s="8">
        <f t="shared" si="12"/>
        <v>3.333333333333333</v>
      </c>
      <c r="P103" s="25"/>
      <c r="Q103" s="25"/>
      <c r="R103" s="25"/>
      <c r="S103" s="7" t="s">
        <v>25</v>
      </c>
      <c r="T103" s="7">
        <v>1680</v>
      </c>
      <c r="U103" s="7">
        <v>0.6</v>
      </c>
      <c r="V103" s="7">
        <v>0.3</v>
      </c>
      <c r="W103" s="7">
        <v>0.45</v>
      </c>
      <c r="X103" s="7">
        <f t="shared" si="69"/>
        <v>3.333333333333333</v>
      </c>
      <c r="Y103" s="7">
        <v>0.6</v>
      </c>
      <c r="Z103" s="8">
        <f t="shared" si="64"/>
        <v>0.30000000000000004</v>
      </c>
      <c r="AA103" s="9">
        <f t="shared" si="65"/>
        <v>504.00000000000006</v>
      </c>
      <c r="AB103" s="8">
        <f t="shared" si="66"/>
        <v>3.333333333333333</v>
      </c>
      <c r="AC103" s="8">
        <f t="shared" si="4"/>
        <v>9.9999999999999982</v>
      </c>
      <c r="AD103" s="8">
        <f t="shared" si="5"/>
        <v>5</v>
      </c>
      <c r="AE103" s="26"/>
      <c r="AF103" s="26"/>
      <c r="AG103" s="26"/>
      <c r="AH103" s="7" t="s">
        <v>26</v>
      </c>
      <c r="AI103" s="12">
        <v>3930</v>
      </c>
      <c r="AJ103" s="7">
        <v>0.7</v>
      </c>
      <c r="AK103" s="7">
        <v>0.35</v>
      </c>
      <c r="AL103" s="7">
        <v>0.7</v>
      </c>
      <c r="AM103" s="7">
        <f t="shared" si="68"/>
        <v>2.1428571428571428</v>
      </c>
      <c r="AN103" s="7">
        <v>0.5</v>
      </c>
      <c r="AO103" s="8">
        <f t="shared" si="13"/>
        <v>0.7</v>
      </c>
      <c r="AP103" s="9">
        <f t="shared" si="14"/>
        <v>2751</v>
      </c>
      <c r="AQ103" s="8">
        <f t="shared" si="15"/>
        <v>2.1428571428571428</v>
      </c>
      <c r="AR103" s="8">
        <f t="shared" si="16"/>
        <v>3.75</v>
      </c>
      <c r="AS103" s="8">
        <f t="shared" si="17"/>
        <v>4.2857142857142856</v>
      </c>
    </row>
    <row r="104" spans="1:45" ht="15.75" customHeight="1" x14ac:dyDescent="0.25">
      <c r="A104" s="26"/>
      <c r="B104" s="26"/>
      <c r="C104" s="26"/>
      <c r="D104" s="7" t="s">
        <v>25</v>
      </c>
      <c r="E104" s="7">
        <v>2400</v>
      </c>
      <c r="F104" s="7">
        <v>0.7</v>
      </c>
      <c r="G104" s="7">
        <v>0.35</v>
      </c>
      <c r="H104" s="7">
        <v>0.65</v>
      </c>
      <c r="I104" s="7">
        <f t="shared" si="70"/>
        <v>2.3076923076923075</v>
      </c>
      <c r="J104" s="7">
        <v>0.5</v>
      </c>
      <c r="K104" s="8">
        <f t="shared" si="8"/>
        <v>0.60000000000000009</v>
      </c>
      <c r="L104" s="9">
        <f t="shared" si="9"/>
        <v>1440.0000000000002</v>
      </c>
      <c r="M104" s="8">
        <f t="shared" si="10"/>
        <v>2.3076923076923075</v>
      </c>
      <c r="N104" s="8">
        <f t="shared" si="11"/>
        <v>4.9999999999999991</v>
      </c>
      <c r="O104" s="8">
        <f t="shared" si="12"/>
        <v>4.2857142857142856</v>
      </c>
      <c r="P104" s="26"/>
      <c r="Q104" s="26"/>
      <c r="R104" s="26"/>
      <c r="S104" s="7" t="s">
        <v>26</v>
      </c>
      <c r="T104" s="7">
        <v>1720</v>
      </c>
      <c r="U104" s="7">
        <v>0.6</v>
      </c>
      <c r="V104" s="7">
        <v>0.3</v>
      </c>
      <c r="W104" s="7">
        <v>0.5</v>
      </c>
      <c r="X104" s="7">
        <f t="shared" si="69"/>
        <v>3</v>
      </c>
      <c r="Y104" s="7">
        <v>1</v>
      </c>
      <c r="Z104" s="8">
        <f t="shared" si="64"/>
        <v>0.4</v>
      </c>
      <c r="AA104" s="9">
        <f t="shared" si="65"/>
        <v>688</v>
      </c>
      <c r="AB104" s="8">
        <f t="shared" si="66"/>
        <v>3</v>
      </c>
      <c r="AC104" s="8">
        <f t="shared" si="4"/>
        <v>7.5</v>
      </c>
      <c r="AD104" s="8">
        <f t="shared" si="5"/>
        <v>5</v>
      </c>
      <c r="AE104" s="38"/>
      <c r="AF104" s="38"/>
      <c r="AG104" s="38"/>
      <c r="AH104" s="32" t="s">
        <v>15</v>
      </c>
      <c r="AI104" s="33"/>
      <c r="AJ104" s="33"/>
      <c r="AK104" s="33"/>
      <c r="AL104" s="33"/>
      <c r="AM104" s="33"/>
      <c r="AN104" s="34"/>
      <c r="AO104" s="8">
        <f t="shared" si="13"/>
        <v>0</v>
      </c>
      <c r="AP104" s="9">
        <f t="shared" si="14"/>
        <v>0</v>
      </c>
      <c r="AQ104" s="8" t="e">
        <f t="shared" si="15"/>
        <v>#DIV/0!</v>
      </c>
      <c r="AR104" s="8">
        <f t="shared" si="16"/>
        <v>4.2857142857142856</v>
      </c>
      <c r="AS104" s="8" t="e">
        <f t="shared" si="17"/>
        <v>#DIV/0!</v>
      </c>
    </row>
    <row r="105" spans="1:45" ht="15.75" customHeight="1" x14ac:dyDescent="0.25">
      <c r="A105" s="27" t="s">
        <v>33</v>
      </c>
      <c r="B105" s="27">
        <v>345</v>
      </c>
      <c r="C105" s="27" t="s">
        <v>17</v>
      </c>
      <c r="D105" s="7" t="s">
        <v>26</v>
      </c>
      <c r="E105" s="7">
        <v>4000</v>
      </c>
      <c r="F105" s="7">
        <v>0.8</v>
      </c>
      <c r="G105" s="7">
        <v>0.35</v>
      </c>
      <c r="H105" s="7">
        <v>0.73</v>
      </c>
      <c r="I105" s="7">
        <f t="shared" si="70"/>
        <v>2.0547945205479454</v>
      </c>
      <c r="J105" s="7">
        <v>0.5</v>
      </c>
      <c r="K105" s="8">
        <f t="shared" si="8"/>
        <v>0.76</v>
      </c>
      <c r="L105" s="9">
        <f t="shared" si="9"/>
        <v>3040</v>
      </c>
      <c r="M105" s="8">
        <f t="shared" si="10"/>
        <v>2.0547945205479454</v>
      </c>
      <c r="N105" s="8">
        <f t="shared" si="11"/>
        <v>3.9473684210526314</v>
      </c>
      <c r="O105" s="8">
        <f t="shared" si="12"/>
        <v>4.2857142857142856</v>
      </c>
      <c r="P105" s="35">
        <v>45397</v>
      </c>
      <c r="Q105" s="36">
        <v>527</v>
      </c>
      <c r="R105" s="36" t="s">
        <v>18</v>
      </c>
      <c r="S105" s="32" t="s">
        <v>15</v>
      </c>
      <c r="T105" s="33"/>
      <c r="U105" s="33"/>
      <c r="V105" s="33"/>
      <c r="W105" s="33"/>
      <c r="X105" s="33"/>
      <c r="Y105" s="34"/>
      <c r="Z105" s="8">
        <f t="shared" si="64"/>
        <v>0</v>
      </c>
      <c r="AA105" s="9">
        <f t="shared" si="65"/>
        <v>0</v>
      </c>
      <c r="AB105" s="8" t="e">
        <f t="shared" si="66"/>
        <v>#DIV/0!</v>
      </c>
      <c r="AC105" s="8" t="e">
        <f t="shared" si="4"/>
        <v>#DIV/0!</v>
      </c>
      <c r="AD105" s="8" t="e">
        <f t="shared" si="5"/>
        <v>#DIV/0!</v>
      </c>
      <c r="AE105" s="25"/>
      <c r="AF105" s="25"/>
      <c r="AG105" s="25"/>
      <c r="AH105" s="14" t="s">
        <v>3</v>
      </c>
      <c r="AI105" s="14" t="s">
        <v>4</v>
      </c>
      <c r="AJ105" s="14" t="s">
        <v>5</v>
      </c>
      <c r="AK105" s="14" t="s">
        <v>6</v>
      </c>
      <c r="AL105" s="14" t="s">
        <v>7</v>
      </c>
      <c r="AM105" s="14" t="s">
        <v>8</v>
      </c>
      <c r="AN105" s="14" t="s">
        <v>10</v>
      </c>
      <c r="AO105" s="8" t="e">
        <f t="shared" si="13"/>
        <v>#VALUE!</v>
      </c>
      <c r="AP105" s="9" t="e">
        <f t="shared" si="14"/>
        <v>#VALUE!</v>
      </c>
      <c r="AQ105" s="8" t="e">
        <f t="shared" si="15"/>
        <v>#VALUE!</v>
      </c>
      <c r="AR105" s="8" t="e">
        <f t="shared" si="16"/>
        <v>#DIV/0!</v>
      </c>
      <c r="AS105" s="8" t="e">
        <f t="shared" si="17"/>
        <v>#VALUE!</v>
      </c>
    </row>
    <row r="106" spans="1:45" ht="15.75" customHeight="1" x14ac:dyDescent="0.25">
      <c r="A106" s="25"/>
      <c r="B106" s="25"/>
      <c r="C106" s="25"/>
      <c r="D106" s="32" t="s">
        <v>15</v>
      </c>
      <c r="E106" s="33"/>
      <c r="F106" s="33"/>
      <c r="G106" s="33"/>
      <c r="H106" s="33"/>
      <c r="I106" s="33"/>
      <c r="J106" s="34"/>
      <c r="K106" s="8">
        <f t="shared" si="8"/>
        <v>0</v>
      </c>
      <c r="L106" s="9">
        <f t="shared" si="9"/>
        <v>0</v>
      </c>
      <c r="M106" s="8" t="e">
        <f t="shared" si="10"/>
        <v>#DIV/0!</v>
      </c>
      <c r="N106" s="8" t="e">
        <f t="shared" si="11"/>
        <v>#DIV/0!</v>
      </c>
      <c r="O106" s="8" t="e">
        <f t="shared" si="12"/>
        <v>#DIV/0!</v>
      </c>
      <c r="P106" s="25"/>
      <c r="Q106" s="25"/>
      <c r="R106" s="25"/>
      <c r="S106" s="14" t="s">
        <v>3</v>
      </c>
      <c r="T106" s="14" t="s">
        <v>4</v>
      </c>
      <c r="U106" s="14" t="s">
        <v>5</v>
      </c>
      <c r="V106" s="14" t="s">
        <v>6</v>
      </c>
      <c r="W106" s="14" t="s">
        <v>7</v>
      </c>
      <c r="X106" s="14" t="s">
        <v>8</v>
      </c>
      <c r="Y106" s="14" t="s">
        <v>10</v>
      </c>
      <c r="AA106" s="9"/>
      <c r="AC106" s="8" t="e">
        <f t="shared" si="4"/>
        <v>#VALUE!</v>
      </c>
      <c r="AD106" s="8" t="e">
        <f t="shared" si="5"/>
        <v>#VALUE!</v>
      </c>
      <c r="AE106" s="25"/>
      <c r="AF106" s="25"/>
      <c r="AG106" s="25"/>
      <c r="AH106" s="7" t="s">
        <v>16</v>
      </c>
      <c r="AI106" s="12">
        <v>5500</v>
      </c>
      <c r="AJ106" s="7">
        <v>1</v>
      </c>
      <c r="AK106" s="7">
        <v>0.45</v>
      </c>
      <c r="AL106" s="7">
        <v>0.9</v>
      </c>
      <c r="AM106" s="7">
        <f t="shared" ref="AM106:AM112" si="71">1.5/AL106</f>
        <v>1.6666666666666665</v>
      </c>
      <c r="AN106" s="7">
        <v>0.9</v>
      </c>
      <c r="AO106" s="8">
        <f t="shared" si="13"/>
        <v>0.9</v>
      </c>
      <c r="AP106" s="9">
        <f t="shared" si="14"/>
        <v>4950</v>
      </c>
      <c r="AQ106" s="8">
        <f t="shared" si="15"/>
        <v>1.6666666666666665</v>
      </c>
      <c r="AR106" s="8" t="e">
        <f t="shared" si="16"/>
        <v>#VALUE!</v>
      </c>
      <c r="AS106" s="8">
        <f t="shared" si="17"/>
        <v>3.333333333333333</v>
      </c>
    </row>
    <row r="107" spans="1:45" ht="15.75" customHeight="1" x14ac:dyDescent="0.25">
      <c r="A107" s="25"/>
      <c r="B107" s="25"/>
      <c r="C107" s="25"/>
      <c r="D107" s="14" t="s">
        <v>3</v>
      </c>
      <c r="E107" s="14" t="s">
        <v>4</v>
      </c>
      <c r="F107" s="14" t="s">
        <v>5</v>
      </c>
      <c r="G107" s="14" t="s">
        <v>6</v>
      </c>
      <c r="H107" s="14" t="s">
        <v>7</v>
      </c>
      <c r="I107" s="14" t="s">
        <v>8</v>
      </c>
      <c r="J107" s="14" t="s">
        <v>10</v>
      </c>
      <c r="K107" s="8" t="e">
        <f t="shared" si="8"/>
        <v>#VALUE!</v>
      </c>
      <c r="L107" s="9" t="e">
        <f t="shared" si="9"/>
        <v>#VALUE!</v>
      </c>
      <c r="M107" s="8" t="e">
        <f t="shared" si="10"/>
        <v>#VALUE!</v>
      </c>
      <c r="N107" s="8" t="e">
        <f t="shared" si="11"/>
        <v>#VALUE!</v>
      </c>
      <c r="O107" s="8" t="e">
        <f t="shared" si="12"/>
        <v>#VALUE!</v>
      </c>
      <c r="P107" s="25"/>
      <c r="Q107" s="25"/>
      <c r="R107" s="25"/>
      <c r="S107" s="7" t="s">
        <v>16</v>
      </c>
      <c r="T107" s="7">
        <v>1200</v>
      </c>
      <c r="U107" s="7">
        <v>0.6</v>
      </c>
      <c r="V107" s="7">
        <v>0.3</v>
      </c>
      <c r="W107" s="7">
        <v>0.55000000000000004</v>
      </c>
      <c r="X107" s="7">
        <f t="shared" ref="X107:X110" si="72">1.5/W107</f>
        <v>2.7272727272727271</v>
      </c>
      <c r="Y107" s="7">
        <v>0.45</v>
      </c>
      <c r="Z107" s="8">
        <f t="shared" ref="Z107:Z121" si="73">(W107-V107)*2</f>
        <v>0.50000000000000011</v>
      </c>
      <c r="AA107" s="9">
        <f t="shared" ref="AA107:AA121" si="74">((W107-V107)*T107)*2</f>
        <v>600.00000000000011</v>
      </c>
      <c r="AB107" s="8">
        <f t="shared" ref="AB107:AB121" si="75">(1.5/W107)</f>
        <v>2.7272727272727271</v>
      </c>
      <c r="AC107" s="8">
        <f t="shared" si="4"/>
        <v>5.9999999999999982</v>
      </c>
      <c r="AD107" s="8">
        <f t="shared" si="5"/>
        <v>5</v>
      </c>
      <c r="AE107" s="25"/>
      <c r="AF107" s="25"/>
      <c r="AG107" s="25"/>
      <c r="AH107" s="7" t="s">
        <v>19</v>
      </c>
      <c r="AI107" s="12">
        <v>3685</v>
      </c>
      <c r="AJ107" s="7">
        <v>0.8</v>
      </c>
      <c r="AK107" s="7">
        <v>0.4</v>
      </c>
      <c r="AL107" s="7">
        <v>0.75</v>
      </c>
      <c r="AM107" s="7">
        <f t="shared" si="71"/>
        <v>2</v>
      </c>
      <c r="AN107" s="7">
        <v>0.65</v>
      </c>
      <c r="AO107" s="8">
        <f t="shared" si="13"/>
        <v>0.7</v>
      </c>
      <c r="AP107" s="9">
        <f t="shared" si="14"/>
        <v>2579.5</v>
      </c>
      <c r="AQ107" s="8">
        <f t="shared" si="15"/>
        <v>2</v>
      </c>
      <c r="AR107" s="8">
        <f t="shared" si="16"/>
        <v>3.333333333333333</v>
      </c>
      <c r="AS107" s="8">
        <f t="shared" si="17"/>
        <v>3.75</v>
      </c>
    </row>
    <row r="108" spans="1:45" ht="15.75" customHeight="1" x14ac:dyDescent="0.25">
      <c r="A108" s="25"/>
      <c r="B108" s="25"/>
      <c r="C108" s="25"/>
      <c r="D108" s="7" t="s">
        <v>16</v>
      </c>
      <c r="E108" s="7">
        <v>6000</v>
      </c>
      <c r="F108" s="7">
        <v>1.4</v>
      </c>
      <c r="G108" s="7">
        <v>0.45</v>
      </c>
      <c r="H108" s="7">
        <v>0.9</v>
      </c>
      <c r="I108" s="7">
        <f t="shared" ref="I108:I114" si="76">1.5/H108</f>
        <v>1.6666666666666665</v>
      </c>
      <c r="J108" s="7">
        <v>0.6</v>
      </c>
      <c r="K108" s="8">
        <f t="shared" si="8"/>
        <v>0.9</v>
      </c>
      <c r="L108" s="9">
        <f t="shared" si="9"/>
        <v>5400</v>
      </c>
      <c r="M108" s="8">
        <f t="shared" si="10"/>
        <v>1.6666666666666665</v>
      </c>
      <c r="N108" s="8">
        <f t="shared" si="11"/>
        <v>3.333333333333333</v>
      </c>
      <c r="O108" s="8">
        <f t="shared" si="12"/>
        <v>3.333333333333333</v>
      </c>
      <c r="P108" s="25"/>
      <c r="Q108" s="25"/>
      <c r="R108" s="25"/>
      <c r="S108" s="7" t="s">
        <v>19</v>
      </c>
      <c r="T108" s="7">
        <v>1200</v>
      </c>
      <c r="U108" s="7">
        <v>0.6</v>
      </c>
      <c r="V108" s="7">
        <v>0.3</v>
      </c>
      <c r="W108" s="7">
        <v>0.55000000000000004</v>
      </c>
      <c r="X108" s="7">
        <f t="shared" si="72"/>
        <v>2.7272727272727271</v>
      </c>
      <c r="Y108" s="7">
        <v>0.45</v>
      </c>
      <c r="Z108" s="8">
        <f t="shared" si="73"/>
        <v>0.50000000000000011</v>
      </c>
      <c r="AA108" s="9">
        <f t="shared" si="74"/>
        <v>600.00000000000011</v>
      </c>
      <c r="AB108" s="8">
        <f t="shared" si="75"/>
        <v>2.7272727272727271</v>
      </c>
      <c r="AC108" s="8">
        <f t="shared" si="4"/>
        <v>5.9999999999999982</v>
      </c>
      <c r="AD108" s="8">
        <f t="shared" si="5"/>
        <v>5</v>
      </c>
      <c r="AE108" s="25"/>
      <c r="AF108" s="25"/>
      <c r="AG108" s="25"/>
      <c r="AH108" s="7" t="s">
        <v>22</v>
      </c>
      <c r="AI108" s="12">
        <v>6000</v>
      </c>
      <c r="AJ108" s="7">
        <v>1</v>
      </c>
      <c r="AK108" s="7">
        <v>0.45</v>
      </c>
      <c r="AL108" s="7">
        <v>1</v>
      </c>
      <c r="AM108" s="7">
        <f t="shared" si="71"/>
        <v>1.5</v>
      </c>
      <c r="AN108" s="7">
        <v>0.9</v>
      </c>
      <c r="AO108" s="8">
        <f t="shared" si="13"/>
        <v>1.1000000000000001</v>
      </c>
      <c r="AP108" s="9">
        <f t="shared" si="14"/>
        <v>6600.0000000000009</v>
      </c>
      <c r="AQ108" s="8">
        <f t="shared" si="15"/>
        <v>1.5</v>
      </c>
      <c r="AR108" s="8">
        <f t="shared" si="16"/>
        <v>4.2857142857142856</v>
      </c>
      <c r="AS108" s="8">
        <f t="shared" si="17"/>
        <v>3.333333333333333</v>
      </c>
    </row>
    <row r="109" spans="1:45" ht="15.75" customHeight="1" x14ac:dyDescent="0.25">
      <c r="A109" s="25"/>
      <c r="B109" s="25"/>
      <c r="C109" s="25"/>
      <c r="D109" s="7" t="s">
        <v>19</v>
      </c>
      <c r="E109" s="7">
        <v>5500</v>
      </c>
      <c r="F109" s="7">
        <v>1</v>
      </c>
      <c r="G109" s="7">
        <v>0.45</v>
      </c>
      <c r="H109" s="7">
        <v>0.9</v>
      </c>
      <c r="I109" s="7">
        <f t="shared" si="76"/>
        <v>1.6666666666666665</v>
      </c>
      <c r="J109" s="7">
        <v>0.6</v>
      </c>
      <c r="K109" s="8">
        <f t="shared" si="8"/>
        <v>0.9</v>
      </c>
      <c r="L109" s="9">
        <f t="shared" si="9"/>
        <v>4950</v>
      </c>
      <c r="M109" s="8">
        <f t="shared" si="10"/>
        <v>1.6666666666666665</v>
      </c>
      <c r="N109" s="8">
        <f t="shared" si="11"/>
        <v>3.333333333333333</v>
      </c>
      <c r="O109" s="8">
        <f t="shared" si="12"/>
        <v>3.333333333333333</v>
      </c>
      <c r="P109" s="25"/>
      <c r="Q109" s="25"/>
      <c r="R109" s="25"/>
      <c r="S109" s="7" t="s">
        <v>22</v>
      </c>
      <c r="T109" s="7">
        <v>2500</v>
      </c>
      <c r="U109" s="7">
        <v>0.65</v>
      </c>
      <c r="V109" s="7">
        <v>0.35</v>
      </c>
      <c r="W109" s="7">
        <v>0.6</v>
      </c>
      <c r="X109" s="7">
        <f t="shared" si="72"/>
        <v>2.5</v>
      </c>
      <c r="Y109" s="7">
        <v>0.5</v>
      </c>
      <c r="Z109" s="8">
        <f t="shared" si="73"/>
        <v>0.5</v>
      </c>
      <c r="AA109" s="9">
        <f t="shared" si="74"/>
        <v>1250</v>
      </c>
      <c r="AB109" s="8">
        <f t="shared" si="75"/>
        <v>2.5</v>
      </c>
      <c r="AC109" s="8">
        <f t="shared" si="4"/>
        <v>6</v>
      </c>
      <c r="AD109" s="8">
        <f t="shared" si="5"/>
        <v>4.2857142857142856</v>
      </c>
      <c r="AE109" s="25"/>
      <c r="AF109" s="25"/>
      <c r="AG109" s="25"/>
      <c r="AH109" s="7" t="s">
        <v>23</v>
      </c>
      <c r="AI109" s="12">
        <v>3420</v>
      </c>
      <c r="AJ109" s="7">
        <v>0.9</v>
      </c>
      <c r="AK109" s="7">
        <v>0.45</v>
      </c>
      <c r="AL109" s="7">
        <v>0.65</v>
      </c>
      <c r="AM109" s="7">
        <f t="shared" si="71"/>
        <v>2.3076923076923075</v>
      </c>
      <c r="AN109" s="7">
        <v>0.55000000000000004</v>
      </c>
      <c r="AO109" s="8">
        <f t="shared" si="13"/>
        <v>0.4</v>
      </c>
      <c r="AP109" s="9">
        <f t="shared" si="14"/>
        <v>1368</v>
      </c>
      <c r="AQ109" s="8">
        <f t="shared" si="15"/>
        <v>2.3076923076923075</v>
      </c>
      <c r="AR109" s="8">
        <f t="shared" si="16"/>
        <v>2.7272727272727271</v>
      </c>
      <c r="AS109" s="8">
        <f t="shared" si="17"/>
        <v>3.333333333333333</v>
      </c>
    </row>
    <row r="110" spans="1:45" ht="15.75" customHeight="1" x14ac:dyDescent="0.25">
      <c r="A110" s="25"/>
      <c r="B110" s="25"/>
      <c r="C110" s="25"/>
      <c r="D110" s="7" t="s">
        <v>22</v>
      </c>
      <c r="E110" s="7">
        <v>5500</v>
      </c>
      <c r="F110" s="7">
        <v>1</v>
      </c>
      <c r="G110" s="7">
        <v>0.45</v>
      </c>
      <c r="H110" s="7">
        <v>0.9</v>
      </c>
      <c r="I110" s="7">
        <f t="shared" si="76"/>
        <v>1.6666666666666665</v>
      </c>
      <c r="J110" s="7">
        <v>0.6</v>
      </c>
      <c r="K110" s="8">
        <f t="shared" si="8"/>
        <v>0.9</v>
      </c>
      <c r="L110" s="9">
        <f t="shared" si="9"/>
        <v>4950</v>
      </c>
      <c r="M110" s="8">
        <f t="shared" si="10"/>
        <v>1.6666666666666665</v>
      </c>
      <c r="N110" s="8">
        <f t="shared" si="11"/>
        <v>3.333333333333333</v>
      </c>
      <c r="O110" s="8">
        <f t="shared" si="12"/>
        <v>3.333333333333333</v>
      </c>
      <c r="P110" s="25"/>
      <c r="Q110" s="25"/>
      <c r="R110" s="25"/>
      <c r="S110" s="7" t="s">
        <v>23</v>
      </c>
      <c r="T110" s="7">
        <v>3200</v>
      </c>
      <c r="U110" s="7">
        <v>0.7</v>
      </c>
      <c r="V110" s="7">
        <v>0.35</v>
      </c>
      <c r="W110" s="7">
        <v>0.6</v>
      </c>
      <c r="X110" s="7">
        <f t="shared" si="72"/>
        <v>2.5</v>
      </c>
      <c r="Y110" s="7">
        <v>0.55000000000000004</v>
      </c>
      <c r="Z110" s="8">
        <f t="shared" si="73"/>
        <v>0.5</v>
      </c>
      <c r="AA110" s="9">
        <f t="shared" si="74"/>
        <v>1600</v>
      </c>
      <c r="AB110" s="8">
        <f t="shared" si="75"/>
        <v>2.5</v>
      </c>
      <c r="AC110" s="8">
        <f t="shared" si="4"/>
        <v>6</v>
      </c>
      <c r="AD110" s="8">
        <f t="shared" si="5"/>
        <v>4.2857142857142856</v>
      </c>
      <c r="AE110" s="25"/>
      <c r="AF110" s="25"/>
      <c r="AG110" s="25"/>
      <c r="AH110" s="7" t="s">
        <v>24</v>
      </c>
      <c r="AI110" s="12">
        <v>3150</v>
      </c>
      <c r="AJ110" s="7">
        <v>0.88</v>
      </c>
      <c r="AK110" s="7">
        <v>0.45</v>
      </c>
      <c r="AL110" s="7">
        <v>0.65</v>
      </c>
      <c r="AM110" s="7">
        <f t="shared" si="71"/>
        <v>2.3076923076923075</v>
      </c>
      <c r="AN110" s="7">
        <v>0.55000000000000004</v>
      </c>
      <c r="AO110" s="8">
        <f t="shared" si="13"/>
        <v>0.4</v>
      </c>
      <c r="AP110" s="9">
        <f t="shared" si="14"/>
        <v>1260</v>
      </c>
      <c r="AQ110" s="8">
        <f t="shared" si="15"/>
        <v>2.3076923076923075</v>
      </c>
      <c r="AR110" s="8">
        <f t="shared" si="16"/>
        <v>7.5</v>
      </c>
      <c r="AS110" s="8">
        <f t="shared" si="17"/>
        <v>3.333333333333333</v>
      </c>
    </row>
    <row r="111" spans="1:45" ht="15.75" customHeight="1" x14ac:dyDescent="0.25">
      <c r="A111" s="25"/>
      <c r="B111" s="25"/>
      <c r="C111" s="25"/>
      <c r="D111" s="7" t="s">
        <v>23</v>
      </c>
      <c r="E111" s="7">
        <v>4500</v>
      </c>
      <c r="F111" s="7">
        <v>0.9</v>
      </c>
      <c r="G111" s="7">
        <v>0.45</v>
      </c>
      <c r="H111" s="7">
        <v>0.83</v>
      </c>
      <c r="I111" s="7">
        <f t="shared" si="76"/>
        <v>1.8072289156626506</v>
      </c>
      <c r="J111" s="7">
        <v>0.65</v>
      </c>
      <c r="K111" s="8">
        <f t="shared" si="8"/>
        <v>0.7599999999999999</v>
      </c>
      <c r="L111" s="9">
        <f t="shared" si="9"/>
        <v>3419.9999999999995</v>
      </c>
      <c r="M111" s="8">
        <f t="shared" si="10"/>
        <v>1.8072289156626506</v>
      </c>
      <c r="N111" s="8">
        <f t="shared" si="11"/>
        <v>3.9473684210526323</v>
      </c>
      <c r="O111" s="8">
        <f t="shared" si="12"/>
        <v>3.333333333333333</v>
      </c>
      <c r="P111" s="25"/>
      <c r="Q111" s="25"/>
      <c r="R111" s="25"/>
      <c r="S111" s="7" t="s">
        <v>24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8">
        <f t="shared" si="73"/>
        <v>0</v>
      </c>
      <c r="AA111" s="9">
        <f t="shared" si="74"/>
        <v>0</v>
      </c>
      <c r="AB111" s="8" t="e">
        <f t="shared" si="75"/>
        <v>#DIV/0!</v>
      </c>
      <c r="AC111" s="8" t="e">
        <f t="shared" si="4"/>
        <v>#DIV/0!</v>
      </c>
      <c r="AD111" s="8" t="e">
        <f t="shared" si="5"/>
        <v>#DIV/0!</v>
      </c>
      <c r="AE111" s="25"/>
      <c r="AF111" s="25"/>
      <c r="AG111" s="25"/>
      <c r="AH111" s="7" t="s">
        <v>25</v>
      </c>
      <c r="AI111" s="12">
        <v>2150</v>
      </c>
      <c r="AJ111" s="7">
        <v>0.7</v>
      </c>
      <c r="AK111" s="7">
        <v>0.5</v>
      </c>
      <c r="AL111" s="7">
        <v>0.6</v>
      </c>
      <c r="AM111" s="7">
        <f t="shared" si="71"/>
        <v>2.5</v>
      </c>
      <c r="AN111" s="7">
        <v>0.45</v>
      </c>
      <c r="AO111" s="8">
        <f t="shared" si="13"/>
        <v>0.19999999999999996</v>
      </c>
      <c r="AP111" s="9">
        <f t="shared" si="14"/>
        <v>429.99999999999989</v>
      </c>
      <c r="AQ111" s="8">
        <f t="shared" si="15"/>
        <v>2.5</v>
      </c>
      <c r="AR111" s="8">
        <f t="shared" si="16"/>
        <v>7.5</v>
      </c>
      <c r="AS111" s="8">
        <f t="shared" si="17"/>
        <v>3</v>
      </c>
    </row>
    <row r="112" spans="1:45" ht="15.75" customHeight="1" x14ac:dyDescent="0.25">
      <c r="A112" s="25"/>
      <c r="B112" s="25"/>
      <c r="C112" s="25"/>
      <c r="D112" s="7" t="s">
        <v>24</v>
      </c>
      <c r="E112" s="7">
        <v>6000</v>
      </c>
      <c r="F112" s="7">
        <v>1.4</v>
      </c>
      <c r="G112" s="7">
        <v>0.45</v>
      </c>
      <c r="H112" s="7">
        <v>0.9</v>
      </c>
      <c r="I112" s="7">
        <f t="shared" si="76"/>
        <v>1.6666666666666665</v>
      </c>
      <c r="J112" s="7">
        <v>1</v>
      </c>
      <c r="K112" s="8">
        <f t="shared" si="8"/>
        <v>0.9</v>
      </c>
      <c r="L112" s="9">
        <f t="shared" si="9"/>
        <v>5400</v>
      </c>
      <c r="M112" s="8">
        <f t="shared" si="10"/>
        <v>1.6666666666666665</v>
      </c>
      <c r="N112" s="8">
        <f t="shared" si="11"/>
        <v>3.333333333333333</v>
      </c>
      <c r="O112" s="8">
        <f t="shared" si="12"/>
        <v>3.333333333333333</v>
      </c>
      <c r="P112" s="25"/>
      <c r="Q112" s="25"/>
      <c r="R112" s="25"/>
      <c r="S112" s="7" t="s">
        <v>25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8">
        <f t="shared" si="73"/>
        <v>0</v>
      </c>
      <c r="AA112" s="9">
        <f t="shared" si="74"/>
        <v>0</v>
      </c>
      <c r="AB112" s="8" t="e">
        <f t="shared" si="75"/>
        <v>#DIV/0!</v>
      </c>
      <c r="AC112" s="8" t="e">
        <f t="shared" si="4"/>
        <v>#DIV/0!</v>
      </c>
      <c r="AD112" s="8" t="e">
        <f t="shared" si="5"/>
        <v>#DIV/0!</v>
      </c>
      <c r="AE112" s="25"/>
      <c r="AF112" s="25"/>
      <c r="AG112" s="25"/>
      <c r="AH112" s="7" t="s">
        <v>26</v>
      </c>
      <c r="AI112" s="12">
        <v>3590</v>
      </c>
      <c r="AJ112" s="7">
        <v>0.75</v>
      </c>
      <c r="AK112" s="7">
        <v>0.35</v>
      </c>
      <c r="AL112" s="7">
        <v>0.65</v>
      </c>
      <c r="AM112" s="7">
        <f t="shared" si="71"/>
        <v>2.3076923076923075</v>
      </c>
      <c r="AN112" s="7">
        <v>0.5</v>
      </c>
      <c r="AO112" s="8">
        <f t="shared" si="13"/>
        <v>0.60000000000000009</v>
      </c>
      <c r="AP112" s="9">
        <f t="shared" si="14"/>
        <v>2154.0000000000005</v>
      </c>
      <c r="AQ112" s="8">
        <f t="shared" si="15"/>
        <v>2.3076923076923075</v>
      </c>
      <c r="AR112" s="8">
        <f t="shared" si="16"/>
        <v>15.000000000000004</v>
      </c>
      <c r="AS112" s="8">
        <f t="shared" si="17"/>
        <v>4.2857142857142856</v>
      </c>
    </row>
    <row r="113" spans="1:45" ht="15.75" customHeight="1" x14ac:dyDescent="0.25">
      <c r="A113" s="25"/>
      <c r="B113" s="25"/>
      <c r="C113" s="25"/>
      <c r="D113" s="7" t="s">
        <v>25</v>
      </c>
      <c r="E113" s="7">
        <v>5200</v>
      </c>
      <c r="F113" s="7">
        <v>1</v>
      </c>
      <c r="G113" s="7">
        <v>0.45</v>
      </c>
      <c r="H113" s="7">
        <v>0.85</v>
      </c>
      <c r="I113" s="7">
        <f t="shared" si="76"/>
        <v>1.7647058823529411</v>
      </c>
      <c r="J113" s="7">
        <v>1</v>
      </c>
      <c r="K113" s="8">
        <f t="shared" si="8"/>
        <v>0.79999999999999993</v>
      </c>
      <c r="L113" s="9">
        <f t="shared" si="9"/>
        <v>4160</v>
      </c>
      <c r="M113" s="8">
        <f t="shared" si="10"/>
        <v>1.7647058823529411</v>
      </c>
      <c r="N113" s="8">
        <f t="shared" si="11"/>
        <v>3.7500000000000004</v>
      </c>
      <c r="O113" s="8">
        <f t="shared" si="12"/>
        <v>3.333333333333333</v>
      </c>
      <c r="P113" s="25"/>
      <c r="Q113" s="25"/>
      <c r="R113" s="25"/>
      <c r="S113" s="7" t="s">
        <v>26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8">
        <f t="shared" si="73"/>
        <v>0</v>
      </c>
      <c r="AA113" s="9">
        <f t="shared" si="74"/>
        <v>0</v>
      </c>
      <c r="AB113" s="8" t="e">
        <f t="shared" si="75"/>
        <v>#DIV/0!</v>
      </c>
      <c r="AC113" s="8" t="e">
        <f t="shared" si="4"/>
        <v>#DIV/0!</v>
      </c>
      <c r="AD113" s="8" t="e">
        <f t="shared" si="5"/>
        <v>#DIV/0!</v>
      </c>
      <c r="AE113" s="25"/>
      <c r="AF113" s="25"/>
      <c r="AG113" s="25"/>
      <c r="AH113" s="32" t="s">
        <v>27</v>
      </c>
      <c r="AI113" s="33"/>
      <c r="AJ113" s="33"/>
      <c r="AK113" s="33"/>
      <c r="AL113" s="33"/>
      <c r="AM113" s="33"/>
      <c r="AN113" s="34"/>
      <c r="AO113" s="8">
        <f t="shared" si="13"/>
        <v>0</v>
      </c>
      <c r="AP113" s="9">
        <f t="shared" si="14"/>
        <v>0</v>
      </c>
      <c r="AQ113" s="8" t="e">
        <f t="shared" si="15"/>
        <v>#DIV/0!</v>
      </c>
      <c r="AR113" s="8">
        <f t="shared" si="16"/>
        <v>4.9999999999999991</v>
      </c>
      <c r="AS113" s="8" t="e">
        <f t="shared" si="17"/>
        <v>#DIV/0!</v>
      </c>
    </row>
    <row r="114" spans="1:45" ht="15.75" customHeight="1" x14ac:dyDescent="0.25">
      <c r="A114" s="25"/>
      <c r="B114" s="25"/>
      <c r="C114" s="25"/>
      <c r="D114" s="7" t="s">
        <v>26</v>
      </c>
      <c r="E114" s="7">
        <v>5000</v>
      </c>
      <c r="F114" s="7">
        <v>1</v>
      </c>
      <c r="G114" s="7">
        <v>0.45</v>
      </c>
      <c r="H114" s="7">
        <v>0.8</v>
      </c>
      <c r="I114" s="7">
        <f t="shared" si="76"/>
        <v>1.875</v>
      </c>
      <c r="J114" s="7">
        <v>1</v>
      </c>
      <c r="K114" s="8">
        <f t="shared" si="8"/>
        <v>0.70000000000000007</v>
      </c>
      <c r="L114" s="9">
        <f t="shared" si="9"/>
        <v>3500.0000000000005</v>
      </c>
      <c r="M114" s="8">
        <f t="shared" si="10"/>
        <v>1.875</v>
      </c>
      <c r="N114" s="8">
        <f t="shared" si="11"/>
        <v>4.2857142857142856</v>
      </c>
      <c r="O114" s="8">
        <f t="shared" si="12"/>
        <v>3.333333333333333</v>
      </c>
      <c r="P114" s="25"/>
      <c r="Q114" s="25"/>
      <c r="R114" s="25"/>
      <c r="S114" s="32" t="s">
        <v>27</v>
      </c>
      <c r="T114" s="33"/>
      <c r="U114" s="33"/>
      <c r="V114" s="33"/>
      <c r="W114" s="33"/>
      <c r="X114" s="33"/>
      <c r="Y114" s="34"/>
      <c r="Z114" s="8">
        <f t="shared" si="73"/>
        <v>0</v>
      </c>
      <c r="AA114" s="9">
        <f t="shared" si="74"/>
        <v>0</v>
      </c>
      <c r="AB114" s="8" t="e">
        <f t="shared" si="75"/>
        <v>#DIV/0!</v>
      </c>
      <c r="AC114" s="8" t="e">
        <f t="shared" si="4"/>
        <v>#DIV/0!</v>
      </c>
      <c r="AD114" s="8" t="e">
        <f t="shared" si="5"/>
        <v>#DIV/0!</v>
      </c>
      <c r="AE114" s="25"/>
      <c r="AF114" s="25"/>
      <c r="AG114" s="25"/>
      <c r="AH114" s="7" t="s">
        <v>16</v>
      </c>
      <c r="AI114" s="12">
        <v>2985</v>
      </c>
      <c r="AJ114" s="7">
        <v>0.65</v>
      </c>
      <c r="AK114" s="7">
        <v>0.33</v>
      </c>
      <c r="AL114" s="7">
        <v>0.65</v>
      </c>
      <c r="AM114" s="7">
        <f t="shared" ref="AM114:AM120" si="77">1.5/AL114</f>
        <v>2.3076923076923075</v>
      </c>
      <c r="AN114" s="7">
        <v>0.45</v>
      </c>
      <c r="AO114" s="8">
        <f t="shared" si="13"/>
        <v>0.64</v>
      </c>
      <c r="AP114" s="9">
        <f t="shared" si="14"/>
        <v>1910.4</v>
      </c>
      <c r="AQ114" s="8">
        <f t="shared" si="15"/>
        <v>2.3076923076923075</v>
      </c>
      <c r="AR114" s="8" t="e">
        <f t="shared" si="16"/>
        <v>#DIV/0!</v>
      </c>
      <c r="AS114" s="8">
        <f t="shared" si="17"/>
        <v>4.545454545454545</v>
      </c>
    </row>
    <row r="115" spans="1:45" ht="15.75" customHeight="1" x14ac:dyDescent="0.25">
      <c r="A115" s="25"/>
      <c r="B115" s="25"/>
      <c r="C115" s="25"/>
      <c r="D115" s="32" t="s">
        <v>27</v>
      </c>
      <c r="E115" s="33"/>
      <c r="F115" s="33"/>
      <c r="G115" s="33"/>
      <c r="H115" s="33"/>
      <c r="I115" s="33"/>
      <c r="J115" s="34"/>
      <c r="K115" s="8">
        <f t="shared" si="8"/>
        <v>0</v>
      </c>
      <c r="L115" s="9">
        <f t="shared" si="9"/>
        <v>0</v>
      </c>
      <c r="M115" s="8" t="e">
        <f t="shared" si="10"/>
        <v>#DIV/0!</v>
      </c>
      <c r="N115" s="8" t="e">
        <f t="shared" si="11"/>
        <v>#DIV/0!</v>
      </c>
      <c r="O115" s="8" t="e">
        <f t="shared" si="12"/>
        <v>#DIV/0!</v>
      </c>
      <c r="P115" s="25"/>
      <c r="Q115" s="25"/>
      <c r="R115" s="25"/>
      <c r="S115" s="7" t="s">
        <v>16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8">
        <f t="shared" si="73"/>
        <v>0</v>
      </c>
      <c r="AA115" s="9">
        <f t="shared" si="74"/>
        <v>0</v>
      </c>
      <c r="AB115" s="8" t="e">
        <f t="shared" si="75"/>
        <v>#DIV/0!</v>
      </c>
      <c r="AC115" s="8" t="e">
        <f t="shared" si="4"/>
        <v>#DIV/0!</v>
      </c>
      <c r="AD115" s="8" t="e">
        <f t="shared" si="5"/>
        <v>#DIV/0!</v>
      </c>
      <c r="AE115" s="25"/>
      <c r="AF115" s="25"/>
      <c r="AG115" s="25"/>
      <c r="AH115" s="7" t="s">
        <v>19</v>
      </c>
      <c r="AI115" s="12">
        <v>2300</v>
      </c>
      <c r="AJ115" s="7">
        <v>0.65</v>
      </c>
      <c r="AK115" s="7">
        <v>0.33</v>
      </c>
      <c r="AL115" s="7">
        <v>0.67</v>
      </c>
      <c r="AM115" s="7">
        <f t="shared" si="77"/>
        <v>2.2388059701492535</v>
      </c>
      <c r="AN115" s="7">
        <v>0.5</v>
      </c>
      <c r="AO115" s="8">
        <f t="shared" si="13"/>
        <v>0.68</v>
      </c>
      <c r="AP115" s="9">
        <f t="shared" si="14"/>
        <v>1564</v>
      </c>
      <c r="AQ115" s="8">
        <f t="shared" si="15"/>
        <v>2.2388059701492535</v>
      </c>
      <c r="AR115" s="8">
        <f t="shared" si="16"/>
        <v>4.6875</v>
      </c>
      <c r="AS115" s="8">
        <f t="shared" si="17"/>
        <v>4.545454545454545</v>
      </c>
    </row>
    <row r="116" spans="1:45" ht="15.75" customHeight="1" x14ac:dyDescent="0.25">
      <c r="A116" s="25"/>
      <c r="B116" s="25"/>
      <c r="C116" s="25"/>
      <c r="D116" s="7" t="s">
        <v>16</v>
      </c>
      <c r="E116" s="7">
        <v>3200</v>
      </c>
      <c r="F116" s="7">
        <v>0.88</v>
      </c>
      <c r="G116" s="7">
        <v>0.45</v>
      </c>
      <c r="H116" s="7">
        <v>0.83</v>
      </c>
      <c r="I116" s="7">
        <f t="shared" ref="I116:I122" si="78">1.5/H116</f>
        <v>1.8072289156626506</v>
      </c>
      <c r="J116" s="7">
        <v>0.65</v>
      </c>
      <c r="K116" s="8">
        <f t="shared" si="8"/>
        <v>0.7599999999999999</v>
      </c>
      <c r="L116" s="9">
        <f t="shared" si="9"/>
        <v>2431.9999999999995</v>
      </c>
      <c r="M116" s="8">
        <f t="shared" si="10"/>
        <v>1.8072289156626506</v>
      </c>
      <c r="N116" s="8">
        <f t="shared" si="11"/>
        <v>3.9473684210526323</v>
      </c>
      <c r="O116" s="8">
        <f t="shared" si="12"/>
        <v>3.333333333333333</v>
      </c>
      <c r="P116" s="25"/>
      <c r="Q116" s="25"/>
      <c r="R116" s="25"/>
      <c r="S116" s="7" t="s">
        <v>19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8">
        <f t="shared" si="73"/>
        <v>0</v>
      </c>
      <c r="AA116" s="9">
        <f t="shared" si="74"/>
        <v>0</v>
      </c>
      <c r="AB116" s="8" t="e">
        <f t="shared" si="75"/>
        <v>#DIV/0!</v>
      </c>
      <c r="AC116" s="8" t="e">
        <f t="shared" si="4"/>
        <v>#DIV/0!</v>
      </c>
      <c r="AD116" s="8" t="e">
        <f t="shared" si="5"/>
        <v>#DIV/0!</v>
      </c>
      <c r="AE116" s="25"/>
      <c r="AF116" s="25"/>
      <c r="AG116" s="25"/>
      <c r="AH116" s="7" t="s">
        <v>22</v>
      </c>
      <c r="AI116" s="12">
        <v>3375</v>
      </c>
      <c r="AJ116" s="7">
        <v>0.8</v>
      </c>
      <c r="AK116" s="7">
        <v>0.4</v>
      </c>
      <c r="AL116" s="7">
        <v>0.7</v>
      </c>
      <c r="AM116" s="7">
        <f t="shared" si="77"/>
        <v>2.1428571428571428</v>
      </c>
      <c r="AN116" s="7">
        <v>0.6</v>
      </c>
      <c r="AO116" s="8">
        <f t="shared" si="13"/>
        <v>0.59999999999999987</v>
      </c>
      <c r="AP116" s="9">
        <f t="shared" si="14"/>
        <v>2024.9999999999995</v>
      </c>
      <c r="AQ116" s="8">
        <f t="shared" si="15"/>
        <v>2.1428571428571428</v>
      </c>
      <c r="AR116" s="8">
        <f t="shared" si="16"/>
        <v>4.4117647058823524</v>
      </c>
      <c r="AS116" s="8">
        <f t="shared" si="17"/>
        <v>3.75</v>
      </c>
    </row>
    <row r="117" spans="1:45" ht="15.75" customHeight="1" x14ac:dyDescent="0.25">
      <c r="A117" s="25"/>
      <c r="B117" s="25"/>
      <c r="C117" s="25"/>
      <c r="D117" s="7" t="s">
        <v>19</v>
      </c>
      <c r="E117" s="7">
        <v>3500</v>
      </c>
      <c r="F117" s="7">
        <v>0.9</v>
      </c>
      <c r="G117" s="7">
        <v>0.45</v>
      </c>
      <c r="H117" s="7">
        <v>0.83</v>
      </c>
      <c r="I117" s="7">
        <f t="shared" si="78"/>
        <v>1.8072289156626506</v>
      </c>
      <c r="J117" s="7">
        <v>0.65</v>
      </c>
      <c r="K117" s="8">
        <f t="shared" si="8"/>
        <v>0.7599999999999999</v>
      </c>
      <c r="L117" s="9">
        <f t="shared" si="9"/>
        <v>2659.9999999999995</v>
      </c>
      <c r="M117" s="8">
        <f t="shared" si="10"/>
        <v>1.8072289156626506</v>
      </c>
      <c r="N117" s="8">
        <f t="shared" si="11"/>
        <v>3.9473684210526323</v>
      </c>
      <c r="O117" s="8">
        <f t="shared" si="12"/>
        <v>3.333333333333333</v>
      </c>
      <c r="P117" s="25"/>
      <c r="Q117" s="25"/>
      <c r="R117" s="25"/>
      <c r="S117" s="7" t="s">
        <v>22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8">
        <f t="shared" si="73"/>
        <v>0</v>
      </c>
      <c r="AA117" s="9">
        <f t="shared" si="74"/>
        <v>0</v>
      </c>
      <c r="AB117" s="8" t="e">
        <f t="shared" si="75"/>
        <v>#DIV/0!</v>
      </c>
      <c r="AC117" s="8" t="e">
        <f t="shared" si="4"/>
        <v>#DIV/0!</v>
      </c>
      <c r="AD117" s="8" t="e">
        <f t="shared" si="5"/>
        <v>#DIV/0!</v>
      </c>
      <c r="AE117" s="25"/>
      <c r="AF117" s="25"/>
      <c r="AG117" s="25"/>
      <c r="AH117" s="7" t="s">
        <v>23</v>
      </c>
      <c r="AI117" s="12">
        <v>4780</v>
      </c>
      <c r="AJ117" s="7">
        <v>1</v>
      </c>
      <c r="AK117" s="7">
        <v>0.45</v>
      </c>
      <c r="AL117" s="7">
        <v>0.8</v>
      </c>
      <c r="AM117" s="7">
        <f t="shared" si="77"/>
        <v>1.875</v>
      </c>
      <c r="AN117" s="7">
        <v>0.6</v>
      </c>
      <c r="AO117" s="8">
        <f t="shared" si="13"/>
        <v>0.70000000000000007</v>
      </c>
      <c r="AP117" s="9">
        <f t="shared" si="14"/>
        <v>3346.0000000000005</v>
      </c>
      <c r="AQ117" s="8">
        <f t="shared" si="15"/>
        <v>1.875</v>
      </c>
      <c r="AR117" s="8">
        <f t="shared" si="16"/>
        <v>5.0000000000000009</v>
      </c>
      <c r="AS117" s="8">
        <f t="shared" si="17"/>
        <v>3.333333333333333</v>
      </c>
    </row>
    <row r="118" spans="1:45" ht="15.75" customHeight="1" x14ac:dyDescent="0.25">
      <c r="A118" s="25"/>
      <c r="B118" s="25"/>
      <c r="C118" s="25"/>
      <c r="D118" s="7" t="s">
        <v>22</v>
      </c>
      <c r="E118" s="7">
        <v>4200</v>
      </c>
      <c r="F118" s="7">
        <v>1</v>
      </c>
      <c r="G118" s="7">
        <v>0.5</v>
      </c>
      <c r="H118" s="7">
        <v>0.9</v>
      </c>
      <c r="I118" s="7">
        <f t="shared" si="78"/>
        <v>1.6666666666666665</v>
      </c>
      <c r="J118" s="7">
        <v>0.6</v>
      </c>
      <c r="K118" s="8">
        <f t="shared" si="8"/>
        <v>0.8</v>
      </c>
      <c r="L118" s="9">
        <f t="shared" si="9"/>
        <v>3360</v>
      </c>
      <c r="M118" s="8">
        <f t="shared" si="10"/>
        <v>1.6666666666666665</v>
      </c>
      <c r="N118" s="8">
        <f t="shared" si="11"/>
        <v>3.75</v>
      </c>
      <c r="O118" s="8">
        <f t="shared" si="12"/>
        <v>3</v>
      </c>
      <c r="P118" s="25"/>
      <c r="Q118" s="25"/>
      <c r="R118" s="25"/>
      <c r="S118" s="7" t="s">
        <v>23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8">
        <f t="shared" si="73"/>
        <v>0</v>
      </c>
      <c r="AA118" s="9">
        <f t="shared" si="74"/>
        <v>0</v>
      </c>
      <c r="AB118" s="8" t="e">
        <f t="shared" si="75"/>
        <v>#DIV/0!</v>
      </c>
      <c r="AC118" s="8" t="e">
        <f t="shared" si="4"/>
        <v>#DIV/0!</v>
      </c>
      <c r="AD118" s="8" t="e">
        <f t="shared" si="5"/>
        <v>#DIV/0!</v>
      </c>
      <c r="AE118" s="25"/>
      <c r="AF118" s="25"/>
      <c r="AG118" s="25"/>
      <c r="AH118" s="7" t="s">
        <v>24</v>
      </c>
      <c r="AI118" s="7">
        <v>5500</v>
      </c>
      <c r="AJ118" s="7">
        <v>1</v>
      </c>
      <c r="AK118" s="7">
        <v>0.45</v>
      </c>
      <c r="AL118" s="7">
        <v>1</v>
      </c>
      <c r="AM118" s="7">
        <f t="shared" si="77"/>
        <v>1.5</v>
      </c>
      <c r="AN118" s="7">
        <v>0.75</v>
      </c>
      <c r="AO118" s="8">
        <f t="shared" si="13"/>
        <v>1.1000000000000001</v>
      </c>
      <c r="AP118" s="9">
        <f t="shared" si="14"/>
        <v>6050.0000000000009</v>
      </c>
      <c r="AQ118" s="8">
        <f t="shared" si="15"/>
        <v>1.5</v>
      </c>
      <c r="AR118" s="8">
        <f t="shared" si="16"/>
        <v>4.2857142857142856</v>
      </c>
      <c r="AS118" s="8">
        <f t="shared" si="17"/>
        <v>3.333333333333333</v>
      </c>
    </row>
    <row r="119" spans="1:45" ht="15.75" customHeight="1" x14ac:dyDescent="0.25">
      <c r="A119" s="25"/>
      <c r="B119" s="25"/>
      <c r="C119" s="25"/>
      <c r="D119" s="7" t="s">
        <v>23</v>
      </c>
      <c r="E119" s="7">
        <v>5000</v>
      </c>
      <c r="F119" s="7">
        <v>1</v>
      </c>
      <c r="G119" s="7">
        <v>0.55000000000000004</v>
      </c>
      <c r="H119" s="7">
        <v>0.9</v>
      </c>
      <c r="I119" s="7">
        <f t="shared" si="78"/>
        <v>1.6666666666666665</v>
      </c>
      <c r="J119" s="7">
        <v>0.6</v>
      </c>
      <c r="K119" s="8">
        <f t="shared" si="8"/>
        <v>0.7</v>
      </c>
      <c r="L119" s="9">
        <f t="shared" si="9"/>
        <v>3500</v>
      </c>
      <c r="M119" s="8">
        <f t="shared" si="10"/>
        <v>1.6666666666666665</v>
      </c>
      <c r="N119" s="8">
        <f t="shared" si="11"/>
        <v>4.2857142857142856</v>
      </c>
      <c r="O119" s="8">
        <f t="shared" si="12"/>
        <v>2.7272727272727271</v>
      </c>
      <c r="P119" s="25"/>
      <c r="Q119" s="25"/>
      <c r="R119" s="25"/>
      <c r="S119" s="7" t="s">
        <v>24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8">
        <f t="shared" si="73"/>
        <v>0</v>
      </c>
      <c r="AA119" s="9">
        <f t="shared" si="74"/>
        <v>0</v>
      </c>
      <c r="AB119" s="8" t="e">
        <f t="shared" si="75"/>
        <v>#DIV/0!</v>
      </c>
      <c r="AC119" s="8" t="e">
        <f t="shared" si="4"/>
        <v>#DIV/0!</v>
      </c>
      <c r="AD119" s="8" t="e">
        <f t="shared" si="5"/>
        <v>#DIV/0!</v>
      </c>
      <c r="AE119" s="25"/>
      <c r="AF119" s="25"/>
      <c r="AG119" s="25"/>
      <c r="AH119" s="7" t="s">
        <v>25</v>
      </c>
      <c r="AI119" s="7">
        <v>6000</v>
      </c>
      <c r="AJ119" s="7">
        <v>1</v>
      </c>
      <c r="AK119" s="7">
        <v>0.45</v>
      </c>
      <c r="AL119" s="7">
        <v>1</v>
      </c>
      <c r="AM119" s="7">
        <f t="shared" si="77"/>
        <v>1.5</v>
      </c>
      <c r="AN119" s="7">
        <v>0.9</v>
      </c>
      <c r="AO119" s="8">
        <f t="shared" si="13"/>
        <v>1.1000000000000001</v>
      </c>
      <c r="AP119" s="9">
        <f t="shared" si="14"/>
        <v>6600.0000000000009</v>
      </c>
      <c r="AQ119" s="8">
        <f t="shared" si="15"/>
        <v>1.5</v>
      </c>
      <c r="AR119" s="8">
        <f t="shared" si="16"/>
        <v>2.7272727272727271</v>
      </c>
      <c r="AS119" s="8">
        <f t="shared" si="17"/>
        <v>3.333333333333333</v>
      </c>
    </row>
    <row r="120" spans="1:45" ht="15.75" customHeight="1" x14ac:dyDescent="0.25">
      <c r="A120" s="25"/>
      <c r="B120" s="25"/>
      <c r="C120" s="25"/>
      <c r="D120" s="7" t="s">
        <v>24</v>
      </c>
      <c r="E120" s="7">
        <v>5200</v>
      </c>
      <c r="F120" s="7">
        <v>0.88</v>
      </c>
      <c r="G120" s="7">
        <v>0.45</v>
      </c>
      <c r="H120" s="7">
        <v>0.9</v>
      </c>
      <c r="I120" s="7">
        <f t="shared" si="78"/>
        <v>1.6666666666666665</v>
      </c>
      <c r="J120" s="7">
        <v>0.6</v>
      </c>
      <c r="K120" s="8">
        <f t="shared" si="8"/>
        <v>0.9</v>
      </c>
      <c r="L120" s="9">
        <f t="shared" si="9"/>
        <v>4680</v>
      </c>
      <c r="M120" s="8">
        <f t="shared" si="10"/>
        <v>1.6666666666666665</v>
      </c>
      <c r="N120" s="8">
        <f t="shared" si="11"/>
        <v>3.333333333333333</v>
      </c>
      <c r="O120" s="8">
        <f t="shared" si="12"/>
        <v>3.333333333333333</v>
      </c>
      <c r="P120" s="25"/>
      <c r="Q120" s="25"/>
      <c r="R120" s="25"/>
      <c r="S120" s="7" t="s">
        <v>25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8">
        <f t="shared" si="73"/>
        <v>0</v>
      </c>
      <c r="AA120" s="9">
        <f t="shared" si="74"/>
        <v>0</v>
      </c>
      <c r="AB120" s="8" t="e">
        <f t="shared" si="75"/>
        <v>#DIV/0!</v>
      </c>
      <c r="AC120" s="8" t="e">
        <f t="shared" si="4"/>
        <v>#DIV/0!</v>
      </c>
      <c r="AD120" s="8" t="e">
        <f t="shared" si="5"/>
        <v>#DIV/0!</v>
      </c>
      <c r="AE120" s="26"/>
      <c r="AF120" s="26"/>
      <c r="AG120" s="26"/>
      <c r="AH120" s="7" t="s">
        <v>26</v>
      </c>
      <c r="AI120" s="7">
        <v>6000</v>
      </c>
      <c r="AJ120" s="7">
        <v>1</v>
      </c>
      <c r="AK120" s="7">
        <v>0.45</v>
      </c>
      <c r="AL120" s="7">
        <v>1</v>
      </c>
      <c r="AM120" s="7">
        <f t="shared" si="77"/>
        <v>1.5</v>
      </c>
      <c r="AN120" s="7">
        <v>0.9</v>
      </c>
      <c r="AO120" s="8">
        <f t="shared" si="13"/>
        <v>1.1000000000000001</v>
      </c>
      <c r="AP120" s="9">
        <f t="shared" si="14"/>
        <v>6600.0000000000009</v>
      </c>
      <c r="AQ120" s="8">
        <f t="shared" si="15"/>
        <v>1.5</v>
      </c>
      <c r="AR120" s="8">
        <f t="shared" si="16"/>
        <v>2.7272727272727271</v>
      </c>
      <c r="AS120" s="8">
        <f t="shared" si="17"/>
        <v>3.333333333333333</v>
      </c>
    </row>
    <row r="121" spans="1:45" ht="15.75" customHeight="1" x14ac:dyDescent="0.25">
      <c r="A121" s="25"/>
      <c r="B121" s="25"/>
      <c r="C121" s="25"/>
      <c r="D121" s="7" t="s">
        <v>25</v>
      </c>
      <c r="E121" s="7">
        <v>2300</v>
      </c>
      <c r="F121" s="7">
        <v>0.7</v>
      </c>
      <c r="G121" s="7">
        <v>0.4</v>
      </c>
      <c r="H121" s="7">
        <v>0.74</v>
      </c>
      <c r="I121" s="7">
        <f t="shared" si="78"/>
        <v>2.0270270270270272</v>
      </c>
      <c r="J121" s="7">
        <v>0.6</v>
      </c>
      <c r="K121" s="8">
        <f t="shared" si="8"/>
        <v>0.67999999999999994</v>
      </c>
      <c r="L121" s="9">
        <f t="shared" si="9"/>
        <v>1563.9999999999998</v>
      </c>
      <c r="M121" s="8">
        <f t="shared" si="10"/>
        <v>2.0270270270270272</v>
      </c>
      <c r="N121" s="8">
        <f t="shared" si="11"/>
        <v>4.4117647058823533</v>
      </c>
      <c r="O121" s="8">
        <f t="shared" si="12"/>
        <v>3.75</v>
      </c>
      <c r="P121" s="26"/>
      <c r="Q121" s="26"/>
      <c r="R121" s="26"/>
      <c r="S121" s="7" t="s">
        <v>26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8">
        <f t="shared" si="73"/>
        <v>0</v>
      </c>
      <c r="AA121" s="9">
        <f t="shared" si="74"/>
        <v>0</v>
      </c>
      <c r="AB121" s="8" t="e">
        <f t="shared" si="75"/>
        <v>#DIV/0!</v>
      </c>
      <c r="AC121" s="8" t="e">
        <f t="shared" si="4"/>
        <v>#DIV/0!</v>
      </c>
      <c r="AD121" s="8" t="e">
        <f t="shared" si="5"/>
        <v>#DIV/0!</v>
      </c>
      <c r="AH121" s="1"/>
      <c r="AI121" s="1"/>
      <c r="AJ121" s="1"/>
      <c r="AK121" s="1"/>
      <c r="AL121" s="1"/>
      <c r="AM121" s="1"/>
      <c r="AN121" s="1"/>
    </row>
    <row r="122" spans="1:45" ht="15.75" customHeight="1" x14ac:dyDescent="0.25">
      <c r="A122" s="26"/>
      <c r="B122" s="26"/>
      <c r="C122" s="26"/>
      <c r="D122" s="7" t="s">
        <v>26</v>
      </c>
      <c r="E122" s="7">
        <v>1440</v>
      </c>
      <c r="F122" s="7">
        <v>1.29</v>
      </c>
      <c r="G122" s="7">
        <v>0.45</v>
      </c>
      <c r="H122" s="7">
        <v>0.6</v>
      </c>
      <c r="I122" s="7">
        <f t="shared" si="78"/>
        <v>2.5</v>
      </c>
      <c r="J122" s="7">
        <v>0.65</v>
      </c>
      <c r="K122" s="8">
        <f t="shared" si="8"/>
        <v>0.29999999999999993</v>
      </c>
      <c r="L122" s="9">
        <f t="shared" si="9"/>
        <v>431.99999999999989</v>
      </c>
      <c r="M122" s="8">
        <f t="shared" si="10"/>
        <v>2.5</v>
      </c>
      <c r="N122" s="8">
        <f t="shared" si="11"/>
        <v>10.000000000000002</v>
      </c>
      <c r="O122" s="8">
        <f t="shared" si="12"/>
        <v>3.333333333333333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AH122" s="1"/>
      <c r="AI122" s="1"/>
      <c r="AJ122" s="1"/>
      <c r="AK122" s="1"/>
      <c r="AL122" s="1"/>
      <c r="AM122" s="1"/>
      <c r="AN122" s="1"/>
    </row>
    <row r="123" spans="1:45" ht="15.75" customHeight="1" x14ac:dyDescent="0.25">
      <c r="P123" s="1"/>
      <c r="Q123" s="1"/>
      <c r="R123" s="1"/>
      <c r="S123" s="1"/>
      <c r="T123" s="1"/>
      <c r="U123" s="1"/>
      <c r="V123" s="1"/>
      <c r="W123" s="1"/>
      <c r="X123" s="1"/>
      <c r="Y123" s="1"/>
      <c r="AH123" s="1"/>
      <c r="AI123" s="1"/>
      <c r="AJ123" s="1"/>
      <c r="AK123" s="1"/>
      <c r="AL123" s="1"/>
      <c r="AM123" s="1"/>
      <c r="AN123" s="1"/>
    </row>
    <row r="124" spans="1:45" ht="15.75" customHeight="1" x14ac:dyDescent="0.25">
      <c r="P124" s="1"/>
      <c r="Q124" s="1"/>
      <c r="R124" s="1"/>
      <c r="S124" s="1"/>
      <c r="T124" s="1"/>
      <c r="U124" s="1"/>
      <c r="V124" s="1"/>
      <c r="W124" s="1"/>
      <c r="X124" s="1"/>
      <c r="Y124" s="1"/>
      <c r="AH124" s="1"/>
      <c r="AI124" s="1"/>
      <c r="AJ124" s="1"/>
      <c r="AK124" s="1"/>
      <c r="AL124" s="1"/>
      <c r="AM124" s="1"/>
      <c r="AN124" s="1"/>
    </row>
    <row r="125" spans="1:45" ht="15.75" customHeight="1" x14ac:dyDescent="0.25">
      <c r="P125" s="1"/>
      <c r="Q125" s="1"/>
      <c r="R125" s="1"/>
      <c r="S125" s="1"/>
      <c r="T125" s="1"/>
      <c r="U125" s="1"/>
      <c r="V125" s="1"/>
      <c r="W125" s="1"/>
      <c r="X125" s="1"/>
      <c r="Y125" s="1"/>
      <c r="AH125" s="1"/>
      <c r="AI125" s="1"/>
      <c r="AJ125" s="1"/>
      <c r="AK125" s="1"/>
      <c r="AL125" s="1"/>
      <c r="AM125" s="1"/>
      <c r="AN125" s="1"/>
    </row>
    <row r="126" spans="1:45" ht="15.75" customHeight="1" x14ac:dyDescent="0.25">
      <c r="P126" s="1"/>
      <c r="Q126" s="1"/>
      <c r="R126" s="1"/>
      <c r="S126" s="1"/>
      <c r="T126" s="1"/>
      <c r="U126" s="1"/>
      <c r="V126" s="1"/>
      <c r="W126" s="1"/>
      <c r="X126" s="1"/>
      <c r="Y126" s="1"/>
      <c r="AH126" s="1"/>
      <c r="AI126" s="1"/>
      <c r="AJ126" s="1"/>
      <c r="AK126" s="1"/>
      <c r="AL126" s="1"/>
      <c r="AM126" s="1"/>
      <c r="AN126" s="1"/>
    </row>
    <row r="127" spans="1:45" ht="15.75" customHeight="1" x14ac:dyDescent="0.25">
      <c r="P127" s="1"/>
      <c r="Q127" s="1"/>
      <c r="R127" s="1"/>
      <c r="S127" s="1"/>
      <c r="T127" s="1"/>
      <c r="U127" s="1"/>
      <c r="V127" s="1"/>
      <c r="W127" s="1"/>
      <c r="X127" s="1"/>
      <c r="Y127" s="1"/>
      <c r="AH127" s="1"/>
      <c r="AI127" s="1"/>
      <c r="AJ127" s="1"/>
      <c r="AK127" s="1"/>
      <c r="AL127" s="1"/>
      <c r="AM127" s="1"/>
      <c r="AN127" s="1"/>
    </row>
    <row r="128" spans="1:45" ht="15.75" customHeight="1" x14ac:dyDescent="0.25">
      <c r="P128" s="1"/>
      <c r="Q128" s="1"/>
      <c r="R128" s="1"/>
      <c r="S128" s="1"/>
      <c r="T128" s="1"/>
      <c r="U128" s="1"/>
      <c r="V128" s="1"/>
      <c r="W128" s="1"/>
      <c r="X128" s="1"/>
      <c r="Y128" s="1"/>
      <c r="AH128" s="1"/>
      <c r="AI128" s="1"/>
      <c r="AJ128" s="1"/>
      <c r="AK128" s="1"/>
      <c r="AL128" s="1"/>
      <c r="AM128" s="1"/>
      <c r="AN128" s="1"/>
    </row>
    <row r="129" spans="16:40" ht="15.75" customHeight="1" x14ac:dyDescent="0.25">
      <c r="P129" s="1"/>
      <c r="Q129" s="1"/>
      <c r="R129" s="1"/>
      <c r="S129" s="1"/>
      <c r="T129" s="1"/>
      <c r="U129" s="1"/>
      <c r="V129" s="1"/>
      <c r="W129" s="1"/>
      <c r="X129" s="1"/>
      <c r="Y129" s="1"/>
      <c r="AH129" s="1"/>
      <c r="AI129" s="1"/>
      <c r="AJ129" s="1"/>
      <c r="AK129" s="1"/>
      <c r="AL129" s="1"/>
      <c r="AM129" s="1"/>
      <c r="AN129" s="1"/>
    </row>
    <row r="130" spans="16:40" ht="15.75" customHeight="1" x14ac:dyDescent="0.25">
      <c r="P130" s="1"/>
      <c r="Q130" s="1"/>
      <c r="R130" s="1"/>
      <c r="S130" s="1"/>
      <c r="T130" s="1"/>
      <c r="U130" s="1"/>
      <c r="V130" s="1"/>
      <c r="W130" s="1"/>
      <c r="X130" s="1"/>
      <c r="Y130" s="1"/>
      <c r="AH130" s="1"/>
      <c r="AI130" s="1"/>
      <c r="AJ130" s="1"/>
      <c r="AK130" s="1"/>
      <c r="AL130" s="1"/>
      <c r="AM130" s="1"/>
      <c r="AN130" s="1"/>
    </row>
    <row r="131" spans="16:40" ht="15.75" customHeight="1" x14ac:dyDescent="0.25">
      <c r="P131" s="1"/>
      <c r="Q131" s="1"/>
      <c r="R131" s="1"/>
      <c r="S131" s="1"/>
      <c r="T131" s="1"/>
      <c r="U131" s="1"/>
      <c r="V131" s="1"/>
      <c r="W131" s="1"/>
      <c r="X131" s="1"/>
      <c r="Y131" s="1"/>
      <c r="AH131" s="1"/>
      <c r="AI131" s="1"/>
      <c r="AJ131" s="1"/>
      <c r="AK131" s="1"/>
      <c r="AL131" s="1"/>
      <c r="AM131" s="1"/>
      <c r="AN131" s="1"/>
    </row>
    <row r="132" spans="16:40" ht="15.75" customHeight="1" x14ac:dyDescent="0.25">
      <c r="P132" s="1"/>
      <c r="Q132" s="1"/>
      <c r="R132" s="1"/>
      <c r="S132" s="1"/>
      <c r="T132" s="1"/>
      <c r="U132" s="1"/>
      <c r="V132" s="1"/>
      <c r="W132" s="1"/>
      <c r="X132" s="1"/>
      <c r="Y132" s="1"/>
      <c r="AH132" s="1"/>
      <c r="AI132" s="1"/>
      <c r="AJ132" s="1"/>
      <c r="AK132" s="1"/>
      <c r="AL132" s="1"/>
      <c r="AM132" s="1"/>
      <c r="AN132" s="1"/>
    </row>
    <row r="133" spans="16:40" ht="15.75" customHeight="1" x14ac:dyDescent="0.25">
      <c r="P133" s="1"/>
      <c r="Q133" s="1"/>
      <c r="R133" s="1"/>
      <c r="S133" s="1"/>
      <c r="T133" s="1"/>
      <c r="U133" s="1"/>
      <c r="V133" s="1"/>
      <c r="W133" s="1"/>
      <c r="X133" s="1"/>
      <c r="Y133" s="1"/>
      <c r="AH133" s="1"/>
      <c r="AI133" s="1"/>
      <c r="AJ133" s="1"/>
      <c r="AK133" s="1"/>
      <c r="AL133" s="1"/>
      <c r="AM133" s="1"/>
      <c r="AN133" s="1"/>
    </row>
    <row r="134" spans="16:40" ht="15.75" customHeight="1" x14ac:dyDescent="0.25">
      <c r="P134" s="1"/>
      <c r="Q134" s="1"/>
      <c r="R134" s="1"/>
      <c r="S134" s="1"/>
      <c r="T134" s="1"/>
      <c r="U134" s="1"/>
      <c r="V134" s="1"/>
      <c r="W134" s="1"/>
      <c r="X134" s="1"/>
      <c r="Y134" s="1"/>
      <c r="AH134" s="1"/>
      <c r="AI134" s="1"/>
      <c r="AJ134" s="1"/>
      <c r="AK134" s="1"/>
      <c r="AL134" s="1"/>
      <c r="AM134" s="1"/>
      <c r="AN134" s="1"/>
    </row>
    <row r="135" spans="16:40" ht="15.75" customHeight="1" x14ac:dyDescent="0.25">
      <c r="P135" s="1"/>
      <c r="Q135" s="1"/>
      <c r="R135" s="1"/>
      <c r="S135" s="1"/>
      <c r="T135" s="1"/>
      <c r="U135" s="1"/>
      <c r="V135" s="1"/>
      <c r="W135" s="1"/>
      <c r="X135" s="1"/>
      <c r="Y135" s="1"/>
      <c r="AH135" s="1"/>
      <c r="AI135" s="1"/>
      <c r="AJ135" s="1"/>
      <c r="AK135" s="1"/>
      <c r="AL135" s="1"/>
      <c r="AM135" s="1"/>
      <c r="AN135" s="1"/>
    </row>
    <row r="136" spans="16:40" ht="15.75" customHeight="1" x14ac:dyDescent="0.25">
      <c r="P136" s="1"/>
      <c r="Q136" s="1"/>
      <c r="R136" s="1"/>
      <c r="S136" s="1"/>
      <c r="T136" s="1"/>
      <c r="U136" s="1"/>
      <c r="V136" s="1"/>
      <c r="W136" s="1"/>
      <c r="X136" s="1"/>
      <c r="Y136" s="1"/>
      <c r="AH136" s="1"/>
      <c r="AI136" s="1"/>
      <c r="AJ136" s="1"/>
      <c r="AK136" s="1"/>
      <c r="AL136" s="1"/>
      <c r="AM136" s="1"/>
      <c r="AN136" s="1"/>
    </row>
    <row r="137" spans="16:40" ht="15.75" customHeight="1" x14ac:dyDescent="0.25">
      <c r="P137" s="1"/>
      <c r="Q137" s="1"/>
      <c r="R137" s="1"/>
      <c r="S137" s="1"/>
      <c r="T137" s="1"/>
      <c r="U137" s="1"/>
      <c r="V137" s="1"/>
      <c r="W137" s="1"/>
      <c r="X137" s="1"/>
      <c r="Y137" s="1"/>
      <c r="AH137" s="1"/>
      <c r="AI137" s="1"/>
      <c r="AJ137" s="1"/>
      <c r="AK137" s="1"/>
      <c r="AL137" s="1"/>
      <c r="AM137" s="1"/>
      <c r="AN137" s="1"/>
    </row>
    <row r="138" spans="16:40" ht="15.75" customHeight="1" x14ac:dyDescent="0.25">
      <c r="P138" s="1"/>
      <c r="Q138" s="1"/>
      <c r="R138" s="1"/>
      <c r="S138" s="1"/>
      <c r="T138" s="1"/>
      <c r="U138" s="1"/>
      <c r="V138" s="1"/>
      <c r="W138" s="1"/>
      <c r="X138" s="1"/>
      <c r="Y138" s="1"/>
      <c r="AH138" s="1"/>
      <c r="AI138" s="1"/>
      <c r="AJ138" s="1"/>
      <c r="AK138" s="1"/>
      <c r="AL138" s="1"/>
      <c r="AM138" s="1"/>
      <c r="AN138" s="1"/>
    </row>
    <row r="139" spans="16:40" ht="15.75" customHeight="1" x14ac:dyDescent="0.25">
      <c r="P139" s="1"/>
      <c r="Q139" s="1"/>
      <c r="R139" s="1"/>
      <c r="S139" s="1"/>
      <c r="T139" s="1"/>
      <c r="U139" s="1"/>
      <c r="V139" s="1"/>
      <c r="W139" s="1"/>
      <c r="X139" s="1"/>
      <c r="Y139" s="1"/>
      <c r="AH139" s="1"/>
      <c r="AI139" s="1"/>
      <c r="AJ139" s="1"/>
      <c r="AK139" s="1"/>
      <c r="AL139" s="1"/>
      <c r="AM139" s="1"/>
      <c r="AN139" s="1"/>
    </row>
    <row r="140" spans="16:40" ht="15.75" customHeight="1" x14ac:dyDescent="0.25">
      <c r="P140" s="1"/>
      <c r="Q140" s="1"/>
      <c r="R140" s="1"/>
      <c r="S140" s="1"/>
      <c r="T140" s="1"/>
      <c r="U140" s="1"/>
      <c r="V140" s="1"/>
      <c r="W140" s="1"/>
      <c r="X140" s="1"/>
      <c r="Y140" s="1"/>
      <c r="AH140" s="1"/>
      <c r="AI140" s="1"/>
      <c r="AJ140" s="1"/>
      <c r="AK140" s="1"/>
      <c r="AL140" s="1"/>
      <c r="AM140" s="1"/>
      <c r="AN140" s="1"/>
    </row>
    <row r="141" spans="16:40" ht="15.75" customHeight="1" x14ac:dyDescent="0.25">
      <c r="P141" s="1"/>
      <c r="Q141" s="1"/>
      <c r="R141" s="1"/>
      <c r="S141" s="1"/>
      <c r="T141" s="1"/>
      <c r="U141" s="1"/>
      <c r="V141" s="1"/>
      <c r="W141" s="1"/>
      <c r="X141" s="1"/>
      <c r="Y141" s="1"/>
      <c r="AH141" s="1"/>
      <c r="AI141" s="1"/>
      <c r="AJ141" s="1"/>
      <c r="AK141" s="1"/>
      <c r="AL141" s="1"/>
      <c r="AM141" s="1"/>
      <c r="AN141" s="1"/>
    </row>
    <row r="142" spans="16:40" ht="15.75" customHeight="1" x14ac:dyDescent="0.25">
      <c r="P142" s="1"/>
      <c r="Q142" s="1"/>
      <c r="R142" s="1"/>
      <c r="S142" s="1"/>
      <c r="T142" s="1"/>
      <c r="U142" s="1"/>
      <c r="V142" s="1"/>
      <c r="W142" s="1"/>
      <c r="X142" s="1"/>
      <c r="Y142" s="1"/>
      <c r="AH142" s="1"/>
      <c r="AI142" s="1"/>
      <c r="AJ142" s="1"/>
      <c r="AK142" s="1"/>
      <c r="AL142" s="1"/>
      <c r="AM142" s="1"/>
      <c r="AN142" s="1"/>
    </row>
    <row r="143" spans="16:40" ht="15.75" customHeight="1" x14ac:dyDescent="0.25">
      <c r="P143" s="1"/>
      <c r="Q143" s="1"/>
      <c r="R143" s="1"/>
      <c r="S143" s="1"/>
      <c r="T143" s="1"/>
      <c r="U143" s="18"/>
      <c r="V143" s="1"/>
      <c r="W143" s="1"/>
      <c r="X143" s="1"/>
      <c r="Y143" s="1"/>
      <c r="AH143" s="1"/>
      <c r="AI143" s="1"/>
      <c r="AJ143" s="1"/>
      <c r="AK143" s="1"/>
      <c r="AL143" s="1"/>
      <c r="AM143" s="1"/>
      <c r="AN143" s="1"/>
    </row>
    <row r="144" spans="16:40" ht="15.75" customHeight="1" x14ac:dyDescent="0.25">
      <c r="P144" s="1"/>
      <c r="Q144" s="1"/>
      <c r="R144" s="1"/>
      <c r="S144" s="1"/>
      <c r="T144" s="1"/>
      <c r="U144" s="18"/>
      <c r="V144" s="1"/>
      <c r="W144" s="1"/>
      <c r="X144" s="1"/>
      <c r="Y144" s="1"/>
      <c r="AH144" s="1"/>
      <c r="AI144" s="1"/>
      <c r="AJ144" s="1"/>
      <c r="AK144" s="1"/>
      <c r="AL144" s="1"/>
      <c r="AM144" s="1"/>
      <c r="AN144" s="1"/>
    </row>
    <row r="145" spans="16:40" ht="15.75" customHeight="1" x14ac:dyDescent="0.25">
      <c r="P145" s="1"/>
      <c r="Q145" s="18"/>
      <c r="R145" s="1"/>
      <c r="S145" s="1"/>
      <c r="T145" s="1"/>
      <c r="U145" s="18"/>
      <c r="V145" s="1"/>
      <c r="W145" s="1"/>
      <c r="X145" s="1"/>
      <c r="Y145" s="1"/>
      <c r="AH145" s="1"/>
      <c r="AI145" s="1"/>
      <c r="AJ145" s="1"/>
      <c r="AK145" s="1"/>
      <c r="AL145" s="1"/>
      <c r="AM145" s="1"/>
      <c r="AN145" s="1"/>
    </row>
    <row r="146" spans="16:40" ht="15.75" customHeight="1" x14ac:dyDescent="0.25">
      <c r="P146" s="1"/>
      <c r="Q146" s="1"/>
      <c r="R146" s="1"/>
      <c r="S146" s="1"/>
      <c r="T146" s="1"/>
      <c r="U146" s="1"/>
      <c r="V146" s="1"/>
      <c r="W146" s="1"/>
      <c r="X146" s="1"/>
      <c r="Y146" s="1"/>
      <c r="AH146" s="1"/>
      <c r="AI146" s="1"/>
      <c r="AJ146" s="1"/>
      <c r="AK146" s="1"/>
      <c r="AL146" s="1"/>
      <c r="AM146" s="1"/>
      <c r="AN146" s="1"/>
    </row>
    <row r="147" spans="16:40" ht="15.75" customHeight="1" x14ac:dyDescent="0.25">
      <c r="P147" s="1"/>
      <c r="Q147" s="1"/>
      <c r="R147" s="1"/>
      <c r="S147" s="1"/>
      <c r="T147" s="1"/>
      <c r="U147" s="1"/>
      <c r="V147" s="1"/>
      <c r="W147" s="1"/>
      <c r="X147" s="1"/>
      <c r="Y147" s="1"/>
      <c r="AH147" s="1"/>
      <c r="AI147" s="1"/>
      <c r="AJ147" s="1"/>
      <c r="AK147" s="1"/>
      <c r="AL147" s="1"/>
      <c r="AM147" s="1"/>
      <c r="AN147" s="1"/>
    </row>
    <row r="148" spans="16:40" ht="15.75" customHeight="1" x14ac:dyDescent="0.3">
      <c r="P148" s="1"/>
      <c r="Q148" s="23"/>
      <c r="R148" s="1"/>
      <c r="S148" s="1"/>
      <c r="T148" s="1"/>
      <c r="U148" s="1"/>
      <c r="V148" s="1"/>
      <c r="W148" s="1"/>
      <c r="X148" s="1"/>
      <c r="Y148" s="1"/>
      <c r="AH148" s="1"/>
      <c r="AI148" s="1"/>
      <c r="AJ148" s="1"/>
      <c r="AK148" s="1"/>
      <c r="AL148" s="1"/>
      <c r="AM148" s="1"/>
      <c r="AN148" s="1"/>
    </row>
    <row r="149" spans="16:40" ht="15.75" customHeight="1" x14ac:dyDescent="0.25">
      <c r="P149" s="1"/>
      <c r="Q149" s="1"/>
      <c r="R149" s="1"/>
      <c r="S149" s="1"/>
      <c r="T149" s="1"/>
      <c r="U149" s="1"/>
      <c r="V149" s="1"/>
      <c r="W149" s="1"/>
      <c r="X149" s="1"/>
      <c r="Y149" s="1"/>
      <c r="AH149" s="1"/>
      <c r="AI149" s="1"/>
      <c r="AJ149" s="1"/>
      <c r="AK149" s="1"/>
      <c r="AL149" s="1"/>
      <c r="AM149" s="1"/>
      <c r="AN149" s="1"/>
    </row>
    <row r="150" spans="16:40" ht="15.75" customHeight="1" x14ac:dyDescent="0.25">
      <c r="P150" s="1"/>
      <c r="Q150" s="1"/>
      <c r="R150" s="1"/>
      <c r="S150" s="1"/>
      <c r="T150" s="1"/>
      <c r="U150" s="1"/>
      <c r="V150" s="1"/>
      <c r="W150" s="1"/>
      <c r="X150" s="1"/>
      <c r="Y150" s="1"/>
      <c r="AH150" s="1"/>
      <c r="AI150" s="1"/>
      <c r="AJ150" s="1"/>
      <c r="AK150" s="1"/>
      <c r="AL150" s="1"/>
      <c r="AM150" s="1"/>
      <c r="AN150" s="1"/>
    </row>
    <row r="151" spans="16:40" ht="15.75" customHeight="1" x14ac:dyDescent="0.25">
      <c r="P151" s="1"/>
      <c r="Q151" s="1"/>
      <c r="R151" s="1"/>
      <c r="S151" s="1"/>
      <c r="T151" s="1"/>
      <c r="U151" s="1"/>
      <c r="V151" s="1"/>
      <c r="W151" s="1"/>
      <c r="X151" s="1"/>
      <c r="Y151" s="1"/>
      <c r="AH151" s="1"/>
      <c r="AI151" s="1"/>
      <c r="AJ151" s="1"/>
      <c r="AK151" s="1"/>
      <c r="AL151" s="1"/>
      <c r="AM151" s="1"/>
      <c r="AN151" s="1"/>
    </row>
    <row r="152" spans="16:40" ht="15.75" customHeight="1" x14ac:dyDescent="0.25">
      <c r="P152" s="1"/>
      <c r="Q152" s="1"/>
      <c r="R152" s="1"/>
      <c r="S152" s="1"/>
      <c r="T152" s="1"/>
      <c r="U152" s="1"/>
      <c r="V152" s="1"/>
      <c r="W152" s="1"/>
      <c r="X152" s="1"/>
      <c r="Y152" s="1"/>
      <c r="AH152" s="1"/>
      <c r="AI152" s="1"/>
      <c r="AJ152" s="1"/>
      <c r="AK152" s="1"/>
      <c r="AL152" s="1"/>
      <c r="AM152" s="1"/>
      <c r="AN152" s="1"/>
    </row>
    <row r="153" spans="16:40" ht="15.75" customHeight="1" x14ac:dyDescent="0.25">
      <c r="P153" s="7">
        <v>1500</v>
      </c>
      <c r="Q153" s="7">
        <v>1</v>
      </c>
      <c r="R153" s="7">
        <v>0.5</v>
      </c>
      <c r="S153" s="7">
        <v>0.4</v>
      </c>
      <c r="T153" s="7">
        <f t="shared" ref="T153:T157" si="79">1.5/S153</f>
        <v>3.75</v>
      </c>
      <c r="U153" s="7">
        <v>0.6</v>
      </c>
      <c r="V153" s="1"/>
      <c r="W153" s="1"/>
      <c r="X153" s="1"/>
      <c r="Y153" s="1"/>
      <c r="AH153" s="1"/>
      <c r="AI153" s="1"/>
      <c r="AJ153" s="1"/>
      <c r="AK153" s="1"/>
      <c r="AL153" s="1"/>
      <c r="AM153" s="1"/>
      <c r="AN153" s="1"/>
    </row>
    <row r="154" spans="16:40" ht="15.75" customHeight="1" x14ac:dyDescent="0.25">
      <c r="P154" s="7">
        <v>1600</v>
      </c>
      <c r="Q154" s="7">
        <v>0.9</v>
      </c>
      <c r="R154" s="7">
        <v>0.45</v>
      </c>
      <c r="S154" s="7">
        <v>0.48</v>
      </c>
      <c r="T154" s="7">
        <f t="shared" si="79"/>
        <v>3.125</v>
      </c>
      <c r="U154" s="7">
        <v>0.65</v>
      </c>
      <c r="V154" s="1"/>
      <c r="W154" s="1"/>
      <c r="X154" s="1"/>
      <c r="Y154" s="1"/>
      <c r="AH154" s="1"/>
      <c r="AI154" s="1"/>
      <c r="AJ154" s="1"/>
      <c r="AK154" s="1"/>
      <c r="AL154" s="1"/>
      <c r="AM154" s="1"/>
      <c r="AN154" s="1"/>
    </row>
    <row r="155" spans="16:40" ht="15.75" customHeight="1" x14ac:dyDescent="0.25">
      <c r="P155" s="7">
        <v>1640</v>
      </c>
      <c r="Q155" s="7">
        <v>1.4</v>
      </c>
      <c r="R155" s="7">
        <v>0.56000000000000005</v>
      </c>
      <c r="S155" s="7">
        <v>0.55000000000000004</v>
      </c>
      <c r="T155" s="7">
        <f t="shared" si="79"/>
        <v>2.7272727272727271</v>
      </c>
      <c r="U155" s="7">
        <v>1</v>
      </c>
      <c r="V155" s="1"/>
      <c r="W155" s="1"/>
      <c r="X155" s="1"/>
      <c r="Y155" s="1"/>
      <c r="AH155" s="1"/>
      <c r="AI155" s="1"/>
      <c r="AJ155" s="1"/>
      <c r="AK155" s="1"/>
      <c r="AL155" s="1"/>
      <c r="AM155" s="1"/>
      <c r="AN155" s="1"/>
    </row>
    <row r="156" spans="16:40" ht="15.75" customHeight="1" x14ac:dyDescent="0.25">
      <c r="P156" s="7">
        <v>1560</v>
      </c>
      <c r="Q156" s="7">
        <v>1</v>
      </c>
      <c r="R156" s="7">
        <v>0.48</v>
      </c>
      <c r="S156" s="7">
        <v>0.5</v>
      </c>
      <c r="T156" s="7">
        <f t="shared" si="79"/>
        <v>3</v>
      </c>
      <c r="U156" s="7">
        <v>1</v>
      </c>
      <c r="V156" s="1"/>
      <c r="W156" s="1"/>
      <c r="X156" s="1"/>
      <c r="Y156" s="1"/>
      <c r="AH156" s="1"/>
      <c r="AI156" s="1"/>
      <c r="AJ156" s="1"/>
      <c r="AK156" s="1"/>
      <c r="AL156" s="1"/>
      <c r="AM156" s="1"/>
      <c r="AN156" s="1"/>
    </row>
    <row r="157" spans="16:40" ht="15.75" customHeight="1" x14ac:dyDescent="0.25">
      <c r="P157" s="7">
        <v>1720</v>
      </c>
      <c r="Q157" s="7">
        <v>1</v>
      </c>
      <c r="R157" s="7">
        <v>0.35</v>
      </c>
      <c r="S157" s="7">
        <v>0.5</v>
      </c>
      <c r="T157" s="7">
        <f t="shared" si="79"/>
        <v>3</v>
      </c>
      <c r="U157" s="7">
        <v>1</v>
      </c>
      <c r="V157" s="1"/>
      <c r="W157" s="1"/>
      <c r="X157" s="1"/>
      <c r="Y157" s="1"/>
      <c r="AH157" s="1"/>
      <c r="AI157" s="1"/>
      <c r="AJ157" s="1"/>
      <c r="AK157" s="1"/>
      <c r="AL157" s="1"/>
      <c r="AM157" s="1"/>
      <c r="AN157" s="1"/>
    </row>
    <row r="158" spans="16:40" ht="15.75" customHeight="1" x14ac:dyDescent="0.25">
      <c r="P158" s="1"/>
      <c r="Q158" s="1"/>
      <c r="R158" s="1"/>
      <c r="S158" s="1"/>
      <c r="T158" s="1"/>
      <c r="U158" s="1"/>
      <c r="V158" s="1"/>
      <c r="W158" s="1"/>
      <c r="X158" s="1"/>
      <c r="Y158" s="1"/>
      <c r="AH158" s="1"/>
      <c r="AI158" s="1"/>
      <c r="AJ158" s="1"/>
      <c r="AK158" s="1"/>
      <c r="AL158" s="1"/>
      <c r="AM158" s="1"/>
      <c r="AN158" s="1"/>
    </row>
    <row r="159" spans="16:40" ht="15.75" customHeight="1" x14ac:dyDescent="0.25">
      <c r="P159" s="1"/>
      <c r="Q159" s="1"/>
      <c r="R159" s="1"/>
      <c r="S159" s="1"/>
      <c r="T159" s="1"/>
      <c r="U159" s="1"/>
      <c r="V159" s="1"/>
      <c r="W159" s="1"/>
      <c r="X159" s="1"/>
      <c r="Y159" s="1"/>
      <c r="AH159" s="1"/>
      <c r="AI159" s="1"/>
      <c r="AJ159" s="1"/>
      <c r="AK159" s="1"/>
      <c r="AL159" s="1"/>
      <c r="AM159" s="1"/>
      <c r="AN159" s="1"/>
    </row>
    <row r="160" spans="16:40" ht="15.75" customHeight="1" x14ac:dyDescent="0.25">
      <c r="P160" s="1"/>
      <c r="Q160" s="1"/>
      <c r="R160" s="1"/>
      <c r="S160" s="1"/>
      <c r="T160" s="1"/>
      <c r="U160" s="1"/>
      <c r="V160" s="1"/>
      <c r="W160" s="1"/>
      <c r="X160" s="1"/>
      <c r="Y160" s="1"/>
      <c r="AH160" s="1"/>
      <c r="AI160" s="1"/>
      <c r="AJ160" s="1"/>
      <c r="AK160" s="1"/>
      <c r="AL160" s="1"/>
      <c r="AM160" s="1"/>
      <c r="AN160" s="1"/>
    </row>
    <row r="161" spans="16:40" ht="15.75" customHeight="1" x14ac:dyDescent="0.25">
      <c r="P161" s="1"/>
      <c r="Q161" s="1"/>
      <c r="R161" s="1"/>
      <c r="S161" s="1"/>
      <c r="T161" s="1"/>
      <c r="U161" s="1"/>
      <c r="V161" s="1"/>
      <c r="W161" s="1"/>
      <c r="X161" s="1"/>
      <c r="Y161" s="1"/>
      <c r="AH161" s="1"/>
      <c r="AI161" s="1"/>
      <c r="AJ161" s="1"/>
      <c r="AK161" s="1"/>
      <c r="AL161" s="1"/>
      <c r="AM161" s="1"/>
      <c r="AN161" s="1"/>
    </row>
    <row r="162" spans="16:40" ht="15.75" customHeight="1" x14ac:dyDescent="0.25">
      <c r="P162" s="1"/>
      <c r="Q162" s="1"/>
      <c r="R162" s="1"/>
      <c r="S162" s="1"/>
      <c r="T162" s="1"/>
      <c r="U162" s="1"/>
      <c r="V162" s="1"/>
      <c r="W162" s="1"/>
      <c r="X162" s="1"/>
      <c r="Y162" s="1"/>
      <c r="AH162" s="1"/>
      <c r="AI162" s="1"/>
      <c r="AJ162" s="1"/>
      <c r="AK162" s="1"/>
      <c r="AL162" s="1"/>
      <c r="AM162" s="1"/>
      <c r="AN162" s="1"/>
    </row>
    <row r="163" spans="16:40" ht="15.75" customHeight="1" x14ac:dyDescent="0.25">
      <c r="P163" s="1"/>
      <c r="Q163" s="1"/>
      <c r="R163" s="1"/>
      <c r="S163" s="1"/>
      <c r="T163" s="1"/>
      <c r="U163" s="1"/>
      <c r="V163" s="1"/>
      <c r="W163" s="1"/>
      <c r="X163" s="1"/>
      <c r="Y163" s="1"/>
      <c r="AH163" s="1"/>
      <c r="AI163" s="1"/>
      <c r="AJ163" s="1"/>
      <c r="AK163" s="1"/>
      <c r="AL163" s="1"/>
      <c r="AM163" s="1"/>
      <c r="AN163" s="1"/>
    </row>
    <row r="164" spans="16:40" ht="15.75" customHeight="1" x14ac:dyDescent="0.25">
      <c r="P164" s="1"/>
      <c r="Q164" s="1"/>
      <c r="R164" s="1"/>
      <c r="S164" s="1"/>
      <c r="T164" s="1"/>
      <c r="U164" s="1"/>
      <c r="V164" s="1"/>
      <c r="W164" s="1"/>
      <c r="X164" s="1"/>
      <c r="Y164" s="1"/>
      <c r="AH164" s="1"/>
      <c r="AI164" s="1"/>
      <c r="AJ164" s="1"/>
      <c r="AK164" s="1"/>
      <c r="AL164" s="1"/>
      <c r="AM164" s="1"/>
      <c r="AN164" s="1"/>
    </row>
    <row r="165" spans="16:40" ht="15.75" customHeight="1" x14ac:dyDescent="0.25">
      <c r="P165" s="1"/>
      <c r="Q165" s="1"/>
      <c r="R165" s="1"/>
      <c r="S165" s="1"/>
      <c r="T165" s="1"/>
      <c r="U165" s="1"/>
      <c r="V165" s="1"/>
      <c r="W165" s="1"/>
      <c r="X165" s="1"/>
      <c r="Y165" s="1"/>
      <c r="AH165" s="1"/>
      <c r="AI165" s="1"/>
      <c r="AJ165" s="1"/>
      <c r="AK165" s="1"/>
      <c r="AL165" s="1"/>
      <c r="AM165" s="1"/>
      <c r="AN165" s="1"/>
    </row>
    <row r="166" spans="16:40" ht="15.75" customHeight="1" x14ac:dyDescent="0.25">
      <c r="P166" s="1"/>
      <c r="Q166" s="1"/>
      <c r="R166" s="1"/>
      <c r="S166" s="1"/>
      <c r="T166" s="1"/>
      <c r="U166" s="1"/>
      <c r="V166" s="1"/>
      <c r="W166" s="1"/>
      <c r="X166" s="1"/>
      <c r="Y166" s="1"/>
      <c r="AH166" s="1"/>
      <c r="AI166" s="1"/>
      <c r="AJ166" s="1"/>
      <c r="AK166" s="1"/>
      <c r="AL166" s="1"/>
      <c r="AM166" s="1"/>
      <c r="AN166" s="1"/>
    </row>
    <row r="167" spans="16:40" ht="15.75" customHeight="1" x14ac:dyDescent="0.25">
      <c r="P167" s="1"/>
      <c r="Q167" s="1"/>
      <c r="R167" s="1"/>
      <c r="S167" s="1"/>
      <c r="T167" s="1"/>
      <c r="U167" s="1"/>
      <c r="V167" s="1"/>
      <c r="W167" s="1"/>
      <c r="X167" s="1"/>
      <c r="Y167" s="1"/>
      <c r="AH167" s="1"/>
      <c r="AI167" s="1"/>
      <c r="AJ167" s="1"/>
      <c r="AK167" s="1"/>
      <c r="AL167" s="1"/>
      <c r="AM167" s="1"/>
      <c r="AN167" s="1"/>
    </row>
    <row r="168" spans="16:40" ht="15.75" customHeight="1" x14ac:dyDescent="0.25">
      <c r="P168" s="1"/>
      <c r="Q168" s="1"/>
      <c r="R168" s="1"/>
      <c r="S168" s="1"/>
      <c r="T168" s="1"/>
      <c r="U168" s="1"/>
      <c r="V168" s="1"/>
      <c r="W168" s="1"/>
      <c r="X168" s="1"/>
      <c r="Y168" s="1"/>
      <c r="AH168" s="1"/>
      <c r="AI168" s="1"/>
      <c r="AJ168" s="1"/>
      <c r="AK168" s="1"/>
      <c r="AL168" s="1"/>
      <c r="AM168" s="1"/>
      <c r="AN168" s="1"/>
    </row>
    <row r="169" spans="16:40" ht="15.75" customHeight="1" x14ac:dyDescent="0.25">
      <c r="P169" s="1"/>
      <c r="Q169" s="1"/>
      <c r="R169" s="1"/>
      <c r="S169" s="1"/>
      <c r="T169" s="1"/>
      <c r="U169" s="1"/>
      <c r="V169" s="1"/>
      <c r="W169" s="1"/>
      <c r="X169" s="1"/>
      <c r="Y169" s="1"/>
      <c r="AH169" s="1"/>
      <c r="AI169" s="1"/>
      <c r="AJ169" s="1"/>
      <c r="AK169" s="1"/>
      <c r="AL169" s="1"/>
      <c r="AM169" s="1"/>
      <c r="AN169" s="1"/>
    </row>
    <row r="170" spans="16:40" ht="15.75" customHeight="1" x14ac:dyDescent="0.25">
      <c r="P170" s="1"/>
      <c r="Q170" s="1"/>
      <c r="R170" s="1"/>
      <c r="S170" s="1"/>
      <c r="T170" s="1"/>
      <c r="U170" s="1"/>
      <c r="V170" s="1"/>
      <c r="W170" s="1"/>
      <c r="X170" s="1"/>
      <c r="Y170" s="1"/>
      <c r="AH170" s="1"/>
      <c r="AI170" s="1"/>
      <c r="AJ170" s="1"/>
      <c r="AK170" s="1"/>
      <c r="AL170" s="1"/>
      <c r="AM170" s="1"/>
      <c r="AN170" s="1"/>
    </row>
    <row r="171" spans="16:40" ht="15.75" customHeight="1" x14ac:dyDescent="0.25">
      <c r="P171" s="1"/>
      <c r="Q171" s="1"/>
      <c r="R171" s="1"/>
      <c r="S171" s="1"/>
      <c r="T171" s="1"/>
      <c r="U171" s="1"/>
      <c r="V171" s="1"/>
      <c r="W171" s="1"/>
      <c r="X171" s="1"/>
      <c r="Y171" s="1"/>
      <c r="AH171" s="1"/>
      <c r="AI171" s="1"/>
      <c r="AJ171" s="1"/>
      <c r="AK171" s="1"/>
      <c r="AL171" s="1"/>
      <c r="AM171" s="1"/>
      <c r="AN171" s="1"/>
    </row>
    <row r="172" spans="16:40" ht="15.75" customHeight="1" x14ac:dyDescent="0.25">
      <c r="P172" s="1"/>
      <c r="Q172" s="1"/>
      <c r="R172" s="1"/>
      <c r="S172" s="1"/>
      <c r="T172" s="1"/>
      <c r="U172" s="1"/>
      <c r="V172" s="1"/>
      <c r="W172" s="1"/>
      <c r="X172" s="1"/>
      <c r="Y172" s="1"/>
      <c r="AH172" s="1"/>
      <c r="AI172" s="1"/>
      <c r="AJ172" s="1"/>
      <c r="AK172" s="1"/>
      <c r="AL172" s="1"/>
      <c r="AM172" s="1"/>
      <c r="AN172" s="1"/>
    </row>
    <row r="173" spans="16:40" ht="15.75" customHeight="1" x14ac:dyDescent="0.25">
      <c r="P173" s="1"/>
      <c r="Q173" s="1"/>
      <c r="R173" s="1"/>
      <c r="S173" s="1"/>
      <c r="T173" s="1"/>
      <c r="U173" s="1"/>
      <c r="V173" s="1"/>
      <c r="W173" s="1"/>
      <c r="X173" s="1"/>
      <c r="Y173" s="1"/>
      <c r="AH173" s="1"/>
      <c r="AI173" s="1"/>
      <c r="AJ173" s="1"/>
      <c r="AK173" s="1"/>
      <c r="AL173" s="1"/>
      <c r="AM173" s="1"/>
      <c r="AN173" s="1"/>
    </row>
    <row r="174" spans="16:40" ht="15.75" customHeight="1" x14ac:dyDescent="0.25">
      <c r="P174" s="1"/>
      <c r="Q174" s="1"/>
      <c r="R174" s="1"/>
      <c r="S174" s="1"/>
      <c r="T174" s="1"/>
      <c r="U174" s="1"/>
      <c r="V174" s="1"/>
      <c r="W174" s="1"/>
      <c r="X174" s="1"/>
      <c r="Y174" s="1"/>
      <c r="AH174" s="1"/>
      <c r="AI174" s="1"/>
      <c r="AJ174" s="1"/>
      <c r="AK174" s="1"/>
      <c r="AL174" s="1"/>
      <c r="AM174" s="1"/>
      <c r="AN174" s="1"/>
    </row>
    <row r="175" spans="16:40" ht="15.75" customHeight="1" x14ac:dyDescent="0.25">
      <c r="P175" s="1"/>
      <c r="Q175" s="1"/>
      <c r="R175" s="1"/>
      <c r="S175" s="1"/>
      <c r="T175" s="1"/>
      <c r="U175" s="1"/>
      <c r="V175" s="1"/>
      <c r="W175" s="1"/>
      <c r="X175" s="1"/>
      <c r="Y175" s="1"/>
      <c r="AH175" s="1"/>
      <c r="AI175" s="1"/>
      <c r="AJ175" s="1"/>
      <c r="AK175" s="1"/>
      <c r="AL175" s="1"/>
      <c r="AM175" s="1"/>
      <c r="AN175" s="1"/>
    </row>
    <row r="176" spans="16:40" ht="15.75" customHeight="1" x14ac:dyDescent="0.25">
      <c r="P176" s="1"/>
      <c r="Q176" s="1"/>
      <c r="R176" s="1"/>
      <c r="S176" s="1"/>
      <c r="T176" s="1"/>
      <c r="U176" s="1"/>
      <c r="V176" s="1"/>
      <c r="W176" s="1"/>
      <c r="X176" s="1"/>
      <c r="Y176" s="1"/>
      <c r="AH176" s="1"/>
      <c r="AI176" s="1"/>
      <c r="AJ176" s="1"/>
      <c r="AK176" s="1"/>
      <c r="AL176" s="1"/>
      <c r="AM176" s="1"/>
      <c r="AN176" s="1"/>
    </row>
    <row r="177" spans="16:40" ht="15.75" customHeight="1" x14ac:dyDescent="0.25">
      <c r="P177" s="1"/>
      <c r="Q177" s="1"/>
      <c r="R177" s="1"/>
      <c r="S177" s="1"/>
      <c r="T177" s="1"/>
      <c r="U177" s="1"/>
      <c r="V177" s="1"/>
      <c r="W177" s="1"/>
      <c r="X177" s="1"/>
      <c r="Y177" s="1"/>
      <c r="AH177" s="1"/>
      <c r="AI177" s="1"/>
      <c r="AJ177" s="1"/>
      <c r="AK177" s="1"/>
      <c r="AL177" s="1"/>
      <c r="AM177" s="1"/>
      <c r="AN177" s="1"/>
    </row>
    <row r="178" spans="16:40" ht="15.75" customHeight="1" x14ac:dyDescent="0.25">
      <c r="P178" s="1"/>
      <c r="Q178" s="1"/>
      <c r="R178" s="1"/>
      <c r="S178" s="1"/>
      <c r="T178" s="1"/>
      <c r="U178" s="1"/>
      <c r="V178" s="1"/>
      <c r="W178" s="1"/>
      <c r="X178" s="1"/>
      <c r="Y178" s="1"/>
      <c r="AH178" s="1"/>
      <c r="AI178" s="1"/>
      <c r="AJ178" s="1"/>
      <c r="AK178" s="1"/>
      <c r="AL178" s="1"/>
      <c r="AM178" s="1"/>
      <c r="AN178" s="1"/>
    </row>
    <row r="179" spans="16:40" ht="15.75" customHeight="1" x14ac:dyDescent="0.25">
      <c r="P179" s="1"/>
      <c r="Q179" s="1"/>
      <c r="R179" s="1"/>
      <c r="S179" s="1"/>
      <c r="T179" s="1"/>
      <c r="U179" s="1"/>
      <c r="V179" s="1"/>
      <c r="W179" s="1"/>
      <c r="X179" s="1"/>
      <c r="Y179" s="1"/>
      <c r="AH179" s="1"/>
      <c r="AI179" s="1"/>
      <c r="AJ179" s="1"/>
      <c r="AK179" s="1"/>
      <c r="AL179" s="1"/>
      <c r="AM179" s="1"/>
      <c r="AN179" s="1"/>
    </row>
    <row r="180" spans="16:40" ht="15.75" customHeight="1" x14ac:dyDescent="0.25">
      <c r="P180" s="1"/>
      <c r="Q180" s="1"/>
      <c r="R180" s="1"/>
      <c r="S180" s="1"/>
      <c r="T180" s="1"/>
      <c r="U180" s="1"/>
      <c r="V180" s="1"/>
      <c r="W180" s="1"/>
      <c r="X180" s="1"/>
      <c r="Y180" s="1"/>
      <c r="AH180" s="1"/>
      <c r="AI180" s="1"/>
      <c r="AJ180" s="1"/>
      <c r="AK180" s="1"/>
      <c r="AL180" s="1"/>
      <c r="AM180" s="1"/>
      <c r="AN180" s="1"/>
    </row>
    <row r="181" spans="16:40" ht="15.75" customHeight="1" x14ac:dyDescent="0.25">
      <c r="P181" s="1"/>
      <c r="Q181" s="1"/>
      <c r="R181" s="1"/>
      <c r="S181" s="1"/>
      <c r="T181" s="1"/>
      <c r="U181" s="1"/>
      <c r="V181" s="1"/>
      <c r="W181" s="1"/>
      <c r="X181" s="1"/>
      <c r="Y181" s="1"/>
      <c r="AH181" s="1"/>
      <c r="AI181" s="1"/>
      <c r="AJ181" s="1"/>
      <c r="AK181" s="1"/>
      <c r="AL181" s="1"/>
      <c r="AM181" s="1"/>
      <c r="AN181" s="1"/>
    </row>
    <row r="182" spans="16:40" ht="15.75" customHeight="1" x14ac:dyDescent="0.25">
      <c r="P182" s="1"/>
      <c r="Q182" s="1"/>
      <c r="R182" s="1"/>
      <c r="S182" s="1"/>
      <c r="T182" s="1"/>
      <c r="U182" s="1"/>
      <c r="V182" s="1"/>
      <c r="W182" s="1"/>
      <c r="X182" s="1"/>
      <c r="Y182" s="1"/>
      <c r="AH182" s="1"/>
      <c r="AI182" s="1"/>
      <c r="AJ182" s="1"/>
      <c r="AK182" s="1"/>
      <c r="AL182" s="1"/>
      <c r="AM182" s="1"/>
      <c r="AN182" s="1"/>
    </row>
    <row r="183" spans="16:40" ht="15.75" customHeight="1" x14ac:dyDescent="0.25">
      <c r="P183" s="1"/>
      <c r="Q183" s="1"/>
      <c r="R183" s="1"/>
      <c r="S183" s="1"/>
      <c r="T183" s="1"/>
      <c r="U183" s="1"/>
      <c r="V183" s="1"/>
      <c r="W183" s="1"/>
      <c r="X183" s="1"/>
      <c r="Y183" s="1"/>
      <c r="AH183" s="1"/>
      <c r="AI183" s="1"/>
      <c r="AJ183" s="1"/>
      <c r="AK183" s="1"/>
      <c r="AL183" s="1"/>
      <c r="AM183" s="1"/>
      <c r="AN183" s="1"/>
    </row>
    <row r="184" spans="16:40" ht="15.75" customHeight="1" x14ac:dyDescent="0.25">
      <c r="P184" s="1"/>
      <c r="Q184" s="1"/>
      <c r="R184" s="1"/>
      <c r="S184" s="1"/>
      <c r="T184" s="1"/>
      <c r="U184" s="1"/>
      <c r="V184" s="1"/>
      <c r="W184" s="1"/>
      <c r="X184" s="1"/>
      <c r="Y184" s="1"/>
      <c r="AH184" s="1"/>
      <c r="AI184" s="1"/>
      <c r="AJ184" s="1"/>
      <c r="AK184" s="1"/>
      <c r="AL184" s="1"/>
      <c r="AM184" s="1"/>
      <c r="AN184" s="1"/>
    </row>
    <row r="185" spans="16:40" ht="15.75" customHeight="1" x14ac:dyDescent="0.25">
      <c r="P185" s="1"/>
      <c r="Q185" s="1"/>
      <c r="R185" s="1"/>
      <c r="S185" s="1"/>
      <c r="T185" s="1"/>
      <c r="U185" s="1"/>
      <c r="V185" s="1"/>
      <c r="W185" s="1"/>
      <c r="X185" s="1"/>
      <c r="Y185" s="1"/>
      <c r="AH185" s="1"/>
      <c r="AI185" s="1"/>
      <c r="AJ185" s="1"/>
      <c r="AK185" s="1"/>
      <c r="AL185" s="1"/>
      <c r="AM185" s="1"/>
      <c r="AN185" s="1"/>
    </row>
    <row r="186" spans="16:40" ht="15.75" customHeight="1" x14ac:dyDescent="0.25">
      <c r="P186" s="1"/>
      <c r="Q186" s="1"/>
      <c r="R186" s="1"/>
      <c r="S186" s="1"/>
      <c r="T186" s="1"/>
      <c r="U186" s="1"/>
      <c r="V186" s="1"/>
      <c r="W186" s="1"/>
      <c r="X186" s="1"/>
      <c r="Y186" s="1"/>
      <c r="AH186" s="1"/>
      <c r="AI186" s="1"/>
      <c r="AJ186" s="1"/>
      <c r="AK186" s="1"/>
      <c r="AL186" s="1"/>
      <c r="AM186" s="1"/>
      <c r="AN186" s="1"/>
    </row>
    <row r="187" spans="16:40" ht="15.75" customHeight="1" x14ac:dyDescent="0.25">
      <c r="P187" s="1"/>
      <c r="Q187" s="1"/>
      <c r="R187" s="1"/>
      <c r="S187" s="1"/>
      <c r="T187" s="1"/>
      <c r="U187" s="1"/>
      <c r="V187" s="1"/>
      <c r="W187" s="1"/>
      <c r="X187" s="1"/>
      <c r="Y187" s="1"/>
      <c r="AH187" s="1"/>
      <c r="AI187" s="1"/>
      <c r="AJ187" s="1"/>
      <c r="AK187" s="1"/>
      <c r="AL187" s="1"/>
      <c r="AM187" s="1"/>
      <c r="AN187" s="1"/>
    </row>
    <row r="188" spans="16:40" ht="15.75" customHeight="1" x14ac:dyDescent="0.25">
      <c r="P188" s="1"/>
      <c r="Q188" s="1"/>
      <c r="R188" s="1"/>
      <c r="S188" s="1"/>
      <c r="T188" s="1"/>
      <c r="U188" s="1"/>
      <c r="V188" s="1"/>
      <c r="W188" s="1"/>
      <c r="X188" s="1"/>
      <c r="Y188" s="1"/>
      <c r="AH188" s="1"/>
      <c r="AI188" s="1"/>
      <c r="AJ188" s="1"/>
      <c r="AK188" s="1"/>
      <c r="AL188" s="1"/>
      <c r="AM188" s="1"/>
      <c r="AN188" s="1"/>
    </row>
    <row r="189" spans="16:40" ht="15.75" customHeight="1" x14ac:dyDescent="0.25">
      <c r="P189" s="1"/>
      <c r="Q189" s="1"/>
      <c r="R189" s="1"/>
      <c r="S189" s="1"/>
      <c r="T189" s="1"/>
      <c r="U189" s="1"/>
      <c r="V189" s="1"/>
      <c r="W189" s="1"/>
      <c r="X189" s="1"/>
      <c r="Y189" s="1"/>
      <c r="AH189" s="1"/>
      <c r="AI189" s="1"/>
      <c r="AJ189" s="1"/>
      <c r="AK189" s="1"/>
      <c r="AL189" s="1"/>
      <c r="AM189" s="1"/>
      <c r="AN189" s="1"/>
    </row>
    <row r="190" spans="16:40" ht="15.75" customHeight="1" x14ac:dyDescent="0.25">
      <c r="P190" s="1"/>
      <c r="Q190" s="1"/>
      <c r="R190" s="1"/>
      <c r="S190" s="1"/>
      <c r="T190" s="1"/>
      <c r="U190" s="1"/>
      <c r="V190" s="1"/>
      <c r="W190" s="1"/>
      <c r="X190" s="1"/>
      <c r="Y190" s="1"/>
      <c r="AH190" s="1"/>
      <c r="AI190" s="1"/>
      <c r="AJ190" s="1"/>
      <c r="AK190" s="1"/>
      <c r="AL190" s="1"/>
      <c r="AM190" s="1"/>
      <c r="AN190" s="1"/>
    </row>
    <row r="191" spans="16:40" ht="15.75" customHeight="1" x14ac:dyDescent="0.25">
      <c r="P191" s="1"/>
      <c r="Q191" s="1"/>
      <c r="R191" s="1"/>
      <c r="S191" s="1"/>
      <c r="T191" s="1"/>
      <c r="U191" s="1"/>
      <c r="V191" s="1"/>
      <c r="W191" s="1"/>
      <c r="X191" s="1"/>
      <c r="Y191" s="1"/>
      <c r="AH191" s="1"/>
      <c r="AI191" s="1"/>
      <c r="AJ191" s="1"/>
      <c r="AK191" s="1"/>
      <c r="AL191" s="1"/>
      <c r="AM191" s="1"/>
      <c r="AN191" s="1"/>
    </row>
    <row r="192" spans="16:40" ht="15.75" customHeight="1" x14ac:dyDescent="0.25">
      <c r="P192" s="1"/>
      <c r="Q192" s="1"/>
      <c r="R192" s="1"/>
      <c r="S192" s="1"/>
      <c r="T192" s="1"/>
      <c r="U192" s="1"/>
      <c r="V192" s="1"/>
      <c r="W192" s="1"/>
      <c r="X192" s="1"/>
      <c r="Y192" s="1"/>
      <c r="AH192" s="1"/>
      <c r="AI192" s="1"/>
      <c r="AJ192" s="1"/>
      <c r="AK192" s="1"/>
      <c r="AL192" s="1"/>
      <c r="AM192" s="1"/>
      <c r="AN192" s="1"/>
    </row>
    <row r="193" spans="16:40" ht="15.75" customHeight="1" x14ac:dyDescent="0.25">
      <c r="P193" s="1"/>
      <c r="Q193" s="1"/>
      <c r="R193" s="1"/>
      <c r="S193" s="1"/>
      <c r="T193" s="1"/>
      <c r="U193" s="1"/>
      <c r="V193" s="1"/>
      <c r="W193" s="1"/>
      <c r="X193" s="1"/>
      <c r="Y193" s="1"/>
      <c r="AH193" s="1"/>
      <c r="AI193" s="1"/>
      <c r="AJ193" s="1"/>
      <c r="AK193" s="1"/>
      <c r="AL193" s="1"/>
      <c r="AM193" s="1"/>
      <c r="AN193" s="1"/>
    </row>
    <row r="194" spans="16:40" ht="15.75" customHeight="1" x14ac:dyDescent="0.25">
      <c r="P194" s="1"/>
      <c r="Q194" s="1"/>
      <c r="R194" s="1"/>
      <c r="S194" s="1"/>
      <c r="T194" s="1"/>
      <c r="U194" s="1"/>
      <c r="V194" s="1"/>
      <c r="W194" s="1"/>
      <c r="X194" s="1"/>
      <c r="Y194" s="1"/>
      <c r="AH194" s="1"/>
      <c r="AI194" s="1"/>
      <c r="AJ194" s="1"/>
      <c r="AK194" s="1"/>
      <c r="AL194" s="1"/>
      <c r="AM194" s="1"/>
      <c r="AN194" s="1"/>
    </row>
    <row r="195" spans="16:40" ht="15.75" customHeight="1" x14ac:dyDescent="0.25">
      <c r="P195" s="1"/>
      <c r="Q195" s="1"/>
      <c r="R195" s="1"/>
      <c r="S195" s="1"/>
      <c r="T195" s="1"/>
      <c r="U195" s="1"/>
      <c r="V195" s="1"/>
      <c r="W195" s="1"/>
      <c r="X195" s="1"/>
      <c r="Y195" s="1"/>
      <c r="AH195" s="1"/>
      <c r="AI195" s="1"/>
      <c r="AJ195" s="1"/>
      <c r="AK195" s="1"/>
      <c r="AL195" s="1"/>
      <c r="AM195" s="1"/>
      <c r="AN195" s="1"/>
    </row>
    <row r="196" spans="16:40" ht="15.75" customHeight="1" x14ac:dyDescent="0.25">
      <c r="P196" s="1"/>
      <c r="Q196" s="1"/>
      <c r="R196" s="1"/>
      <c r="S196" s="1"/>
      <c r="T196" s="1"/>
      <c r="U196" s="1"/>
      <c r="V196" s="1"/>
      <c r="W196" s="1"/>
      <c r="X196" s="1"/>
      <c r="Y196" s="1"/>
      <c r="AH196" s="1"/>
      <c r="AI196" s="1"/>
      <c r="AJ196" s="1"/>
      <c r="AK196" s="1"/>
      <c r="AL196" s="1"/>
      <c r="AM196" s="1"/>
      <c r="AN196" s="1"/>
    </row>
    <row r="197" spans="16:40" ht="15.75" customHeight="1" x14ac:dyDescent="0.25">
      <c r="P197" s="1"/>
      <c r="Q197" s="1"/>
      <c r="R197" s="1"/>
      <c r="S197" s="1"/>
      <c r="T197" s="1"/>
      <c r="U197" s="1"/>
      <c r="V197" s="1"/>
      <c r="W197" s="1"/>
      <c r="X197" s="1"/>
      <c r="Y197" s="1"/>
      <c r="AH197" s="1"/>
      <c r="AI197" s="1"/>
      <c r="AJ197" s="1"/>
      <c r="AK197" s="1"/>
      <c r="AL197" s="1"/>
      <c r="AM197" s="1"/>
      <c r="AN197" s="1"/>
    </row>
    <row r="198" spans="16:40" ht="15.75" customHeight="1" x14ac:dyDescent="0.25">
      <c r="P198" s="1"/>
      <c r="Q198" s="1"/>
      <c r="R198" s="1"/>
      <c r="S198" s="1"/>
      <c r="T198" s="1"/>
      <c r="U198" s="1"/>
      <c r="V198" s="1"/>
      <c r="W198" s="1"/>
      <c r="X198" s="1"/>
      <c r="Y198" s="1"/>
      <c r="AH198" s="1"/>
      <c r="AI198" s="1"/>
      <c r="AJ198" s="1"/>
      <c r="AK198" s="1"/>
      <c r="AL198" s="1"/>
      <c r="AM198" s="1"/>
      <c r="AN198" s="1"/>
    </row>
    <row r="199" spans="16:40" ht="15.75" customHeight="1" x14ac:dyDescent="0.25">
      <c r="P199" s="1"/>
      <c r="Q199" s="1"/>
      <c r="R199" s="1"/>
      <c r="S199" s="1"/>
      <c r="T199" s="1"/>
      <c r="U199" s="1"/>
      <c r="V199" s="1"/>
      <c r="W199" s="1"/>
      <c r="X199" s="1"/>
      <c r="Y199" s="1"/>
      <c r="AH199" s="1"/>
      <c r="AI199" s="1"/>
      <c r="AJ199" s="1"/>
      <c r="AK199" s="1"/>
      <c r="AL199" s="1"/>
      <c r="AM199" s="1"/>
      <c r="AN199" s="1"/>
    </row>
    <row r="200" spans="16:40" ht="15.75" customHeight="1" x14ac:dyDescent="0.25">
      <c r="P200" s="1"/>
      <c r="Q200" s="1"/>
      <c r="R200" s="1"/>
      <c r="S200" s="1"/>
      <c r="T200" s="1"/>
      <c r="U200" s="1"/>
      <c r="V200" s="1"/>
      <c r="W200" s="1"/>
      <c r="X200" s="1"/>
      <c r="Y200" s="1"/>
      <c r="AH200" s="1"/>
      <c r="AI200" s="1"/>
      <c r="AJ200" s="1"/>
      <c r="AK200" s="1"/>
      <c r="AL200" s="1"/>
      <c r="AM200" s="1"/>
      <c r="AN200" s="1"/>
    </row>
    <row r="201" spans="16:40" ht="15.75" customHeight="1" x14ac:dyDescent="0.25">
      <c r="P201" s="1"/>
      <c r="Q201" s="1"/>
      <c r="R201" s="1"/>
      <c r="S201" s="1"/>
      <c r="T201" s="1"/>
      <c r="U201" s="1"/>
      <c r="V201" s="1"/>
      <c r="W201" s="1"/>
      <c r="X201" s="1"/>
      <c r="Y201" s="1"/>
      <c r="AH201" s="1"/>
      <c r="AI201" s="1"/>
      <c r="AJ201" s="1"/>
      <c r="AK201" s="1"/>
      <c r="AL201" s="1"/>
      <c r="AM201" s="1"/>
      <c r="AN201" s="1"/>
    </row>
    <row r="202" spans="16:40" ht="15.75" customHeight="1" x14ac:dyDescent="0.25">
      <c r="P202" s="1"/>
      <c r="Q202" s="1"/>
      <c r="R202" s="1"/>
      <c r="S202" s="1"/>
      <c r="T202" s="1"/>
      <c r="U202" s="1"/>
      <c r="V202" s="1"/>
      <c r="W202" s="1"/>
      <c r="X202" s="1"/>
      <c r="Y202" s="1"/>
      <c r="AH202" s="1"/>
      <c r="AI202" s="1"/>
      <c r="AJ202" s="1"/>
      <c r="AK202" s="1"/>
      <c r="AL202" s="1"/>
      <c r="AM202" s="1"/>
      <c r="AN202" s="1"/>
    </row>
    <row r="203" spans="16:40" ht="15.75" customHeight="1" x14ac:dyDescent="0.25">
      <c r="P203" s="1"/>
      <c r="Q203" s="1"/>
      <c r="R203" s="1"/>
      <c r="S203" s="1"/>
      <c r="T203" s="1"/>
      <c r="U203" s="1"/>
      <c r="V203" s="1"/>
      <c r="W203" s="1"/>
      <c r="X203" s="1"/>
      <c r="Y203" s="1"/>
      <c r="AH203" s="1"/>
      <c r="AI203" s="1"/>
      <c r="AJ203" s="1"/>
      <c r="AK203" s="1"/>
      <c r="AL203" s="1"/>
      <c r="AM203" s="1"/>
      <c r="AN203" s="1"/>
    </row>
    <row r="204" spans="16:40" ht="15.75" customHeight="1" x14ac:dyDescent="0.25">
      <c r="P204" s="1"/>
      <c r="Q204" s="1"/>
      <c r="R204" s="1"/>
      <c r="S204" s="1"/>
      <c r="T204" s="1"/>
      <c r="U204" s="1"/>
      <c r="V204" s="1"/>
      <c r="W204" s="1"/>
      <c r="X204" s="1"/>
      <c r="Y204" s="1"/>
      <c r="AH204" s="1"/>
      <c r="AI204" s="1"/>
      <c r="AJ204" s="1"/>
      <c r="AK204" s="1"/>
      <c r="AL204" s="1"/>
      <c r="AM204" s="1"/>
      <c r="AN204" s="1"/>
    </row>
    <row r="205" spans="16:40" ht="15.75" customHeight="1" x14ac:dyDescent="0.25">
      <c r="P205" s="1"/>
      <c r="Q205" s="1"/>
      <c r="R205" s="1"/>
      <c r="S205" s="1"/>
      <c r="T205" s="1"/>
      <c r="U205" s="1"/>
      <c r="V205" s="1"/>
      <c r="W205" s="1"/>
      <c r="X205" s="1"/>
      <c r="Y205" s="1"/>
      <c r="AH205" s="1"/>
      <c r="AI205" s="1"/>
      <c r="AJ205" s="1"/>
      <c r="AK205" s="1"/>
      <c r="AL205" s="1"/>
      <c r="AM205" s="1"/>
      <c r="AN205" s="1"/>
    </row>
    <row r="206" spans="16:40" ht="15.75" customHeight="1" x14ac:dyDescent="0.25">
      <c r="P206" s="1"/>
      <c r="Q206" s="1"/>
      <c r="R206" s="1"/>
      <c r="S206" s="1"/>
      <c r="T206" s="1"/>
      <c r="U206" s="1"/>
      <c r="V206" s="1"/>
      <c r="W206" s="1"/>
      <c r="X206" s="1"/>
      <c r="Y206" s="1"/>
      <c r="AH206" s="1"/>
      <c r="AI206" s="1"/>
      <c r="AJ206" s="1"/>
      <c r="AK206" s="1"/>
      <c r="AL206" s="1"/>
      <c r="AM206" s="1"/>
      <c r="AN206" s="1"/>
    </row>
    <row r="207" spans="16:40" ht="15.75" customHeight="1" x14ac:dyDescent="0.25">
      <c r="P207" s="1"/>
      <c r="Q207" s="1"/>
      <c r="R207" s="1"/>
      <c r="S207" s="1"/>
      <c r="T207" s="1"/>
      <c r="U207" s="1"/>
      <c r="V207" s="1"/>
      <c r="W207" s="1"/>
      <c r="X207" s="1"/>
      <c r="Y207" s="1"/>
      <c r="AH207" s="1"/>
      <c r="AI207" s="1"/>
      <c r="AJ207" s="1"/>
      <c r="AK207" s="1"/>
      <c r="AL207" s="1"/>
      <c r="AM207" s="1"/>
      <c r="AN207" s="1"/>
    </row>
    <row r="208" spans="16:40" ht="15.75" customHeight="1" x14ac:dyDescent="0.25">
      <c r="P208" s="1"/>
      <c r="Q208" s="1"/>
      <c r="R208" s="1"/>
      <c r="S208" s="1"/>
      <c r="T208" s="1"/>
      <c r="U208" s="1"/>
      <c r="V208" s="1"/>
      <c r="W208" s="1"/>
      <c r="X208" s="1"/>
      <c r="Y208" s="1"/>
      <c r="AH208" s="1"/>
      <c r="AI208" s="1"/>
      <c r="AJ208" s="1"/>
      <c r="AK208" s="1"/>
      <c r="AL208" s="1"/>
      <c r="AM208" s="1"/>
      <c r="AN208" s="1"/>
    </row>
    <row r="209" spans="16:40" ht="15.75" customHeight="1" x14ac:dyDescent="0.25">
      <c r="P209" s="1"/>
      <c r="Q209" s="1"/>
      <c r="R209" s="1"/>
      <c r="S209" s="1"/>
      <c r="T209" s="1"/>
      <c r="U209" s="1"/>
      <c r="V209" s="1"/>
      <c r="W209" s="1"/>
      <c r="X209" s="1"/>
      <c r="Y209" s="1"/>
      <c r="AH209" s="1"/>
      <c r="AI209" s="1"/>
      <c r="AJ209" s="1"/>
      <c r="AK209" s="1"/>
      <c r="AL209" s="1"/>
      <c r="AM209" s="1"/>
      <c r="AN209" s="1"/>
    </row>
    <row r="210" spans="16:40" ht="15.75" customHeight="1" x14ac:dyDescent="0.25">
      <c r="P210" s="1"/>
      <c r="Q210" s="1"/>
      <c r="R210" s="1"/>
      <c r="S210" s="1"/>
      <c r="T210" s="1"/>
      <c r="U210" s="1"/>
      <c r="V210" s="1"/>
      <c r="W210" s="1"/>
      <c r="X210" s="1"/>
      <c r="Y210" s="1"/>
      <c r="AH210" s="1"/>
      <c r="AI210" s="1"/>
      <c r="AJ210" s="1"/>
      <c r="AK210" s="1"/>
      <c r="AL210" s="1"/>
      <c r="AM210" s="1"/>
      <c r="AN210" s="1"/>
    </row>
    <row r="211" spans="16:40" ht="15.75" customHeight="1" x14ac:dyDescent="0.25">
      <c r="P211" s="1"/>
      <c r="Q211" s="1"/>
      <c r="R211" s="1"/>
      <c r="S211" s="1"/>
      <c r="T211" s="1"/>
      <c r="U211" s="1"/>
      <c r="V211" s="1"/>
      <c r="W211" s="1"/>
      <c r="X211" s="1"/>
      <c r="Y211" s="1"/>
      <c r="AH211" s="1"/>
      <c r="AI211" s="1"/>
      <c r="AJ211" s="1"/>
      <c r="AK211" s="1"/>
      <c r="AL211" s="1"/>
      <c r="AM211" s="1"/>
      <c r="AN211" s="1"/>
    </row>
    <row r="212" spans="16:40" ht="15.75" customHeight="1" x14ac:dyDescent="0.25">
      <c r="P212" s="1"/>
      <c r="Q212" s="1"/>
      <c r="R212" s="1"/>
      <c r="S212" s="1"/>
      <c r="T212" s="1"/>
      <c r="U212" s="1"/>
      <c r="V212" s="1"/>
      <c r="W212" s="1"/>
      <c r="X212" s="1"/>
      <c r="Y212" s="1"/>
      <c r="AH212" s="1"/>
      <c r="AI212" s="1"/>
      <c r="AJ212" s="1"/>
      <c r="AK212" s="1"/>
      <c r="AL212" s="1"/>
      <c r="AM212" s="1"/>
      <c r="AN212" s="1"/>
    </row>
    <row r="213" spans="16:40" ht="15.75" customHeight="1" x14ac:dyDescent="0.25">
      <c r="P213" s="1"/>
      <c r="Q213" s="1"/>
      <c r="R213" s="1"/>
      <c r="S213" s="1"/>
      <c r="T213" s="1"/>
      <c r="U213" s="1"/>
      <c r="V213" s="1"/>
      <c r="W213" s="1"/>
      <c r="X213" s="1"/>
      <c r="Y213" s="1"/>
      <c r="AH213" s="1"/>
      <c r="AI213" s="1"/>
      <c r="AJ213" s="1"/>
      <c r="AK213" s="1"/>
      <c r="AL213" s="1"/>
      <c r="AM213" s="1"/>
      <c r="AN213" s="1"/>
    </row>
    <row r="214" spans="16:40" ht="15.75" customHeight="1" x14ac:dyDescent="0.25">
      <c r="P214" s="1"/>
      <c r="Q214" s="1"/>
      <c r="R214" s="1"/>
      <c r="S214" s="1"/>
      <c r="T214" s="1"/>
      <c r="U214" s="1"/>
      <c r="V214" s="1"/>
      <c r="W214" s="1"/>
      <c r="X214" s="1"/>
      <c r="Y214" s="1"/>
      <c r="AH214" s="1"/>
      <c r="AI214" s="1"/>
      <c r="AJ214" s="1"/>
      <c r="AK214" s="1"/>
      <c r="AL214" s="1"/>
      <c r="AM214" s="1"/>
      <c r="AN214" s="1"/>
    </row>
    <row r="215" spans="16:40" ht="15.75" customHeight="1" x14ac:dyDescent="0.25">
      <c r="P215" s="1"/>
      <c r="Q215" s="1"/>
      <c r="R215" s="1"/>
      <c r="S215" s="1"/>
      <c r="T215" s="1"/>
      <c r="U215" s="1"/>
      <c r="V215" s="1"/>
      <c r="W215" s="1"/>
      <c r="X215" s="1"/>
      <c r="Y215" s="1"/>
      <c r="AH215" s="1"/>
      <c r="AI215" s="1"/>
      <c r="AJ215" s="1"/>
      <c r="AK215" s="1"/>
      <c r="AL215" s="1"/>
      <c r="AM215" s="1"/>
      <c r="AN215" s="1"/>
    </row>
    <row r="216" spans="16:40" ht="15.75" customHeight="1" x14ac:dyDescent="0.25">
      <c r="P216" s="1"/>
      <c r="Q216" s="1"/>
      <c r="R216" s="1"/>
      <c r="S216" s="1"/>
      <c r="T216" s="1"/>
      <c r="U216" s="1"/>
      <c r="V216" s="1"/>
      <c r="W216" s="1"/>
      <c r="X216" s="1"/>
      <c r="Y216" s="1"/>
      <c r="AH216" s="1"/>
      <c r="AI216" s="1"/>
      <c r="AJ216" s="1"/>
      <c r="AK216" s="1"/>
      <c r="AL216" s="1"/>
      <c r="AM216" s="1"/>
      <c r="AN216" s="1"/>
    </row>
    <row r="217" spans="16:40" ht="15.75" customHeight="1" x14ac:dyDescent="0.25">
      <c r="P217" s="1"/>
      <c r="Q217" s="1"/>
      <c r="R217" s="1"/>
      <c r="S217" s="1"/>
      <c r="T217" s="1"/>
      <c r="U217" s="1"/>
      <c r="V217" s="1"/>
      <c r="W217" s="1"/>
      <c r="X217" s="1"/>
      <c r="Y217" s="1"/>
      <c r="AH217" s="1"/>
      <c r="AI217" s="1"/>
      <c r="AJ217" s="1"/>
      <c r="AK217" s="1"/>
      <c r="AL217" s="1"/>
      <c r="AM217" s="1"/>
      <c r="AN217" s="1"/>
    </row>
    <row r="218" spans="16:40" ht="15.75" customHeight="1" x14ac:dyDescent="0.25">
      <c r="P218" s="1"/>
      <c r="Q218" s="1"/>
      <c r="R218" s="1"/>
      <c r="S218" s="1"/>
      <c r="T218" s="1"/>
      <c r="U218" s="1"/>
      <c r="V218" s="1"/>
      <c r="W218" s="1"/>
      <c r="X218" s="1"/>
      <c r="Y218" s="1"/>
      <c r="AH218" s="1"/>
      <c r="AI218" s="1"/>
      <c r="AJ218" s="1"/>
      <c r="AK218" s="1"/>
      <c r="AL218" s="1"/>
      <c r="AM218" s="1"/>
      <c r="AN218" s="1"/>
    </row>
    <row r="219" spans="16:40" ht="15.75" customHeight="1" x14ac:dyDescent="0.25">
      <c r="P219" s="1"/>
      <c r="Q219" s="1"/>
      <c r="R219" s="1"/>
      <c r="S219" s="1"/>
      <c r="T219" s="1"/>
      <c r="U219" s="1"/>
      <c r="V219" s="1"/>
      <c r="W219" s="1"/>
      <c r="X219" s="1"/>
      <c r="Y219" s="1"/>
      <c r="AH219" s="1"/>
      <c r="AI219" s="1"/>
      <c r="AJ219" s="1"/>
      <c r="AK219" s="1"/>
      <c r="AL219" s="1"/>
      <c r="AM219" s="1"/>
      <c r="AN219" s="1"/>
    </row>
    <row r="220" spans="16:40" ht="15.75" customHeight="1" x14ac:dyDescent="0.25">
      <c r="P220" s="1"/>
      <c r="Q220" s="1"/>
      <c r="R220" s="1"/>
      <c r="S220" s="1"/>
      <c r="T220" s="1"/>
      <c r="U220" s="1"/>
      <c r="V220" s="1"/>
      <c r="W220" s="1"/>
      <c r="X220" s="1"/>
      <c r="Y220" s="1"/>
      <c r="AH220" s="1"/>
      <c r="AI220" s="1"/>
      <c r="AJ220" s="1"/>
      <c r="AK220" s="1"/>
      <c r="AL220" s="1"/>
      <c r="AM220" s="1"/>
      <c r="AN220" s="1"/>
    </row>
    <row r="221" spans="16:40" ht="15.75" customHeight="1" x14ac:dyDescent="0.25">
      <c r="P221" s="1"/>
      <c r="Q221" s="1"/>
      <c r="R221" s="1"/>
      <c r="S221" s="1"/>
      <c r="T221" s="1"/>
      <c r="U221" s="1"/>
      <c r="V221" s="1"/>
      <c r="W221" s="1"/>
      <c r="X221" s="1"/>
      <c r="Y221" s="1"/>
      <c r="AH221" s="1"/>
      <c r="AI221" s="1"/>
      <c r="AJ221" s="1"/>
      <c r="AK221" s="1"/>
      <c r="AL221" s="1"/>
      <c r="AM221" s="1"/>
      <c r="AN221" s="1"/>
    </row>
    <row r="222" spans="16:40" ht="15.75" customHeight="1" x14ac:dyDescent="0.25">
      <c r="P222" s="1"/>
      <c r="Q222" s="1"/>
      <c r="R222" s="1"/>
      <c r="S222" s="1"/>
      <c r="T222" s="1"/>
      <c r="U222" s="1"/>
      <c r="V222" s="1"/>
      <c r="W222" s="1"/>
      <c r="X222" s="1"/>
      <c r="Y222" s="1"/>
      <c r="AH222" s="1"/>
      <c r="AI222" s="1"/>
      <c r="AJ222" s="1"/>
      <c r="AK222" s="1"/>
      <c r="AL222" s="1"/>
      <c r="AM222" s="1"/>
      <c r="AN222" s="1"/>
    </row>
    <row r="223" spans="16:40" ht="15.75" customHeight="1" x14ac:dyDescent="0.25">
      <c r="P223" s="1"/>
      <c r="Q223" s="1"/>
      <c r="R223" s="1"/>
      <c r="S223" s="1"/>
      <c r="T223" s="1"/>
      <c r="U223" s="1"/>
      <c r="V223" s="1"/>
      <c r="W223" s="1"/>
      <c r="X223" s="1"/>
      <c r="Y223" s="1"/>
      <c r="AH223" s="1"/>
      <c r="AI223" s="1"/>
      <c r="AJ223" s="1"/>
      <c r="AK223" s="1"/>
      <c r="AL223" s="1"/>
      <c r="AM223" s="1"/>
      <c r="AN223" s="1"/>
    </row>
    <row r="224" spans="16:40" ht="15.75" customHeight="1" x14ac:dyDescent="0.25">
      <c r="P224" s="1"/>
      <c r="Q224" s="1"/>
      <c r="R224" s="1"/>
      <c r="S224" s="1"/>
      <c r="T224" s="1"/>
      <c r="U224" s="1"/>
      <c r="V224" s="1"/>
      <c r="W224" s="1"/>
      <c r="X224" s="1"/>
      <c r="Y224" s="1"/>
      <c r="AH224" s="1"/>
      <c r="AI224" s="1"/>
      <c r="AJ224" s="1"/>
      <c r="AK224" s="1"/>
      <c r="AL224" s="1"/>
      <c r="AM224" s="1"/>
      <c r="AN224" s="1"/>
    </row>
    <row r="225" spans="16:40" ht="15.75" customHeight="1" x14ac:dyDescent="0.25">
      <c r="P225" s="1"/>
      <c r="Q225" s="1"/>
      <c r="R225" s="1"/>
      <c r="S225" s="1"/>
      <c r="T225" s="1"/>
      <c r="U225" s="1"/>
      <c r="V225" s="1"/>
      <c r="W225" s="1"/>
      <c r="X225" s="1"/>
      <c r="Y225" s="1"/>
      <c r="AH225" s="1"/>
      <c r="AI225" s="1"/>
      <c r="AJ225" s="1"/>
      <c r="AK225" s="1"/>
      <c r="AL225" s="1"/>
      <c r="AM225" s="1"/>
      <c r="AN225" s="1"/>
    </row>
    <row r="226" spans="16:40" ht="15.75" customHeight="1" x14ac:dyDescent="0.25">
      <c r="P226" s="1"/>
      <c r="Q226" s="1"/>
      <c r="R226" s="1"/>
      <c r="S226" s="1"/>
      <c r="T226" s="1"/>
      <c r="U226" s="1"/>
      <c r="V226" s="1"/>
      <c r="W226" s="1"/>
      <c r="X226" s="1"/>
      <c r="Y226" s="1"/>
      <c r="AH226" s="1"/>
      <c r="AI226" s="1"/>
      <c r="AJ226" s="1"/>
      <c r="AK226" s="1"/>
      <c r="AL226" s="1"/>
      <c r="AM226" s="1"/>
      <c r="AN226" s="1"/>
    </row>
    <row r="227" spans="16:40" ht="15.75" customHeight="1" x14ac:dyDescent="0.25">
      <c r="P227" s="1"/>
      <c r="Q227" s="1"/>
      <c r="R227" s="1"/>
      <c r="S227" s="1"/>
      <c r="T227" s="1"/>
      <c r="U227" s="1"/>
      <c r="V227" s="1"/>
      <c r="W227" s="1"/>
      <c r="X227" s="1"/>
      <c r="Y227" s="1"/>
      <c r="AH227" s="1"/>
      <c r="AI227" s="1"/>
      <c r="AJ227" s="1"/>
      <c r="AK227" s="1"/>
      <c r="AL227" s="1"/>
      <c r="AM227" s="1"/>
      <c r="AN227" s="1"/>
    </row>
    <row r="228" spans="16:40" ht="15.75" customHeight="1" x14ac:dyDescent="0.25">
      <c r="P228" s="1"/>
      <c r="Q228" s="1"/>
      <c r="R228" s="1"/>
      <c r="S228" s="1"/>
      <c r="T228" s="1"/>
      <c r="U228" s="1"/>
      <c r="V228" s="1"/>
      <c r="W228" s="1"/>
      <c r="X228" s="1"/>
      <c r="Y228" s="1"/>
      <c r="AH228" s="1"/>
      <c r="AI228" s="1"/>
      <c r="AJ228" s="1"/>
      <c r="AK228" s="1"/>
      <c r="AL228" s="1"/>
      <c r="AM228" s="1"/>
      <c r="AN228" s="1"/>
    </row>
    <row r="229" spans="16:40" ht="15.75" customHeight="1" x14ac:dyDescent="0.25">
      <c r="P229" s="1"/>
      <c r="Q229" s="1"/>
      <c r="R229" s="1"/>
      <c r="S229" s="1"/>
      <c r="T229" s="1"/>
      <c r="U229" s="1"/>
      <c r="V229" s="1"/>
      <c r="W229" s="1"/>
      <c r="X229" s="1"/>
      <c r="Y229" s="1"/>
      <c r="AH229" s="1"/>
      <c r="AI229" s="1"/>
      <c r="AJ229" s="1"/>
      <c r="AK229" s="1"/>
      <c r="AL229" s="1"/>
      <c r="AM229" s="1"/>
      <c r="AN229" s="1"/>
    </row>
    <row r="230" spans="16:40" ht="15.75" customHeight="1" x14ac:dyDescent="0.25">
      <c r="P230" s="1"/>
      <c r="Q230" s="1"/>
      <c r="R230" s="1"/>
      <c r="S230" s="1"/>
      <c r="T230" s="1"/>
      <c r="U230" s="1"/>
      <c r="V230" s="1"/>
      <c r="W230" s="1"/>
      <c r="X230" s="1"/>
      <c r="Y230" s="1"/>
      <c r="AH230" s="1"/>
      <c r="AI230" s="1"/>
      <c r="AJ230" s="1"/>
      <c r="AK230" s="1"/>
      <c r="AL230" s="1"/>
      <c r="AM230" s="1"/>
      <c r="AN230" s="1"/>
    </row>
    <row r="231" spans="16:40" ht="15.75" customHeight="1" x14ac:dyDescent="0.25">
      <c r="P231" s="1"/>
      <c r="Q231" s="1"/>
      <c r="R231" s="1"/>
      <c r="S231" s="1"/>
      <c r="T231" s="1"/>
      <c r="U231" s="1"/>
      <c r="V231" s="1"/>
      <c r="W231" s="1"/>
      <c r="X231" s="1"/>
      <c r="Y231" s="1"/>
      <c r="AH231" s="1"/>
      <c r="AI231" s="1"/>
      <c r="AJ231" s="1"/>
      <c r="AK231" s="1"/>
      <c r="AL231" s="1"/>
      <c r="AM231" s="1"/>
      <c r="AN231" s="1"/>
    </row>
    <row r="232" spans="16:40" ht="15.75" customHeight="1" x14ac:dyDescent="0.25">
      <c r="P232" s="1"/>
      <c r="Q232" s="1"/>
      <c r="R232" s="1"/>
      <c r="S232" s="1"/>
      <c r="T232" s="1"/>
      <c r="U232" s="1"/>
      <c r="V232" s="1"/>
      <c r="W232" s="1"/>
      <c r="X232" s="1"/>
      <c r="Y232" s="1"/>
      <c r="AH232" s="1"/>
      <c r="AI232" s="1"/>
      <c r="AJ232" s="1"/>
      <c r="AK232" s="1"/>
      <c r="AL232" s="1"/>
      <c r="AM232" s="1"/>
      <c r="AN232" s="1"/>
    </row>
    <row r="233" spans="16:40" ht="15.75" customHeight="1" x14ac:dyDescent="0.25">
      <c r="P233" s="1"/>
      <c r="Q233" s="1"/>
      <c r="R233" s="1"/>
      <c r="S233" s="1"/>
      <c r="T233" s="1"/>
      <c r="U233" s="1"/>
      <c r="V233" s="1"/>
      <c r="W233" s="1"/>
      <c r="X233" s="1"/>
      <c r="Y233" s="1"/>
      <c r="AH233" s="1"/>
      <c r="AI233" s="1"/>
      <c r="AJ233" s="1"/>
      <c r="AK233" s="1"/>
      <c r="AL233" s="1"/>
      <c r="AM233" s="1"/>
      <c r="AN233" s="1"/>
    </row>
    <row r="234" spans="16:40" ht="15.75" customHeight="1" x14ac:dyDescent="0.25">
      <c r="P234" s="1"/>
      <c r="Q234" s="1"/>
      <c r="R234" s="1"/>
      <c r="S234" s="1"/>
      <c r="T234" s="1"/>
      <c r="U234" s="1"/>
      <c r="V234" s="1"/>
      <c r="W234" s="1"/>
      <c r="X234" s="1"/>
      <c r="Y234" s="1"/>
      <c r="AH234" s="1"/>
      <c r="AI234" s="1"/>
      <c r="AJ234" s="1"/>
      <c r="AK234" s="1"/>
      <c r="AL234" s="1"/>
      <c r="AM234" s="1"/>
      <c r="AN234" s="1"/>
    </row>
    <row r="235" spans="16:40" ht="15.75" customHeight="1" x14ac:dyDescent="0.25">
      <c r="P235" s="1"/>
      <c r="Q235" s="1"/>
      <c r="R235" s="1"/>
      <c r="S235" s="1"/>
      <c r="T235" s="1"/>
      <c r="U235" s="1"/>
      <c r="V235" s="1"/>
      <c r="W235" s="1"/>
      <c r="X235" s="1"/>
      <c r="Y235" s="1"/>
      <c r="AH235" s="1"/>
      <c r="AI235" s="1"/>
      <c r="AJ235" s="1"/>
      <c r="AK235" s="1"/>
      <c r="AL235" s="1"/>
      <c r="AM235" s="1"/>
      <c r="AN235" s="1"/>
    </row>
    <row r="236" spans="16:40" ht="15.75" customHeight="1" x14ac:dyDescent="0.25">
      <c r="P236" s="1"/>
      <c r="Q236" s="1"/>
      <c r="R236" s="1"/>
      <c r="S236" s="1"/>
      <c r="T236" s="1"/>
      <c r="U236" s="1"/>
      <c r="V236" s="1"/>
      <c r="W236" s="1"/>
      <c r="X236" s="1"/>
      <c r="Y236" s="1"/>
      <c r="AH236" s="1"/>
      <c r="AI236" s="1"/>
      <c r="AJ236" s="1"/>
      <c r="AK236" s="1"/>
      <c r="AL236" s="1"/>
      <c r="AM236" s="1"/>
      <c r="AN236" s="1"/>
    </row>
    <row r="237" spans="16:40" ht="15.75" customHeight="1" x14ac:dyDescent="0.25">
      <c r="P237" s="1"/>
      <c r="Q237" s="1"/>
      <c r="R237" s="1"/>
      <c r="S237" s="1"/>
      <c r="T237" s="1"/>
      <c r="U237" s="1"/>
      <c r="V237" s="1"/>
      <c r="W237" s="1"/>
      <c r="X237" s="1"/>
      <c r="Y237" s="1"/>
      <c r="AH237" s="1"/>
      <c r="AI237" s="1"/>
      <c r="AJ237" s="1"/>
      <c r="AK237" s="1"/>
      <c r="AL237" s="1"/>
      <c r="AM237" s="1"/>
      <c r="AN237" s="1"/>
    </row>
    <row r="238" spans="16:40" ht="15.75" customHeight="1" x14ac:dyDescent="0.25">
      <c r="P238" s="1"/>
      <c r="Q238" s="1"/>
      <c r="R238" s="1"/>
      <c r="S238" s="1"/>
      <c r="T238" s="1"/>
      <c r="U238" s="1"/>
      <c r="V238" s="1"/>
      <c r="W238" s="1"/>
      <c r="X238" s="1"/>
      <c r="Y238" s="1"/>
      <c r="AH238" s="1"/>
      <c r="AI238" s="1"/>
      <c r="AJ238" s="1"/>
      <c r="AK238" s="1"/>
      <c r="AL238" s="1"/>
      <c r="AM238" s="1"/>
      <c r="AN238" s="1"/>
    </row>
    <row r="239" spans="16:40" ht="15.75" customHeight="1" x14ac:dyDescent="0.25">
      <c r="P239" s="1"/>
      <c r="Q239" s="1"/>
      <c r="R239" s="1"/>
      <c r="S239" s="1"/>
      <c r="T239" s="1"/>
      <c r="U239" s="1"/>
      <c r="V239" s="1"/>
      <c r="W239" s="1"/>
      <c r="X239" s="1"/>
      <c r="Y239" s="1"/>
      <c r="AH239" s="1"/>
      <c r="AI239" s="1"/>
      <c r="AJ239" s="1"/>
      <c r="AK239" s="1"/>
      <c r="AL239" s="1"/>
      <c r="AM239" s="1"/>
      <c r="AN239" s="1"/>
    </row>
    <row r="240" spans="16:40" ht="15.75" customHeight="1" x14ac:dyDescent="0.25">
      <c r="P240" s="1"/>
      <c r="Q240" s="1"/>
      <c r="R240" s="1"/>
      <c r="S240" s="1"/>
      <c r="T240" s="1"/>
      <c r="U240" s="1"/>
      <c r="V240" s="1"/>
      <c r="W240" s="1"/>
      <c r="X240" s="1"/>
      <c r="Y240" s="1"/>
      <c r="AH240" s="1"/>
      <c r="AI240" s="1"/>
      <c r="AJ240" s="1"/>
      <c r="AK240" s="1"/>
      <c r="AL240" s="1"/>
      <c r="AM240" s="1"/>
      <c r="AN240" s="1"/>
    </row>
    <row r="241" spans="16:40" ht="15.75" customHeight="1" x14ac:dyDescent="0.25">
      <c r="P241" s="1"/>
      <c r="Q241" s="1"/>
      <c r="R241" s="1"/>
      <c r="S241" s="1"/>
      <c r="T241" s="1"/>
      <c r="U241" s="1"/>
      <c r="V241" s="1"/>
      <c r="W241" s="1"/>
      <c r="X241" s="1"/>
      <c r="Y241" s="1"/>
      <c r="AH241" s="1"/>
      <c r="AI241" s="1"/>
      <c r="AJ241" s="1"/>
      <c r="AK241" s="1"/>
      <c r="AL241" s="1"/>
      <c r="AM241" s="1"/>
      <c r="AN241" s="1"/>
    </row>
    <row r="242" spans="16:40" ht="15.75" customHeight="1" x14ac:dyDescent="0.25">
      <c r="P242" s="1"/>
      <c r="Q242" s="1"/>
      <c r="R242" s="1"/>
      <c r="S242" s="1"/>
      <c r="T242" s="1"/>
      <c r="U242" s="1"/>
      <c r="V242" s="1"/>
      <c r="W242" s="1"/>
      <c r="X242" s="1"/>
      <c r="Y242" s="1"/>
      <c r="AH242" s="1"/>
      <c r="AI242" s="1"/>
      <c r="AJ242" s="1"/>
      <c r="AK242" s="1"/>
      <c r="AL242" s="1"/>
      <c r="AM242" s="1"/>
      <c r="AN242" s="1"/>
    </row>
    <row r="243" spans="16:40" ht="15.75" customHeight="1" x14ac:dyDescent="0.25">
      <c r="P243" s="1"/>
      <c r="Q243" s="1"/>
      <c r="R243" s="1"/>
      <c r="S243" s="1"/>
      <c r="T243" s="1"/>
      <c r="U243" s="1"/>
      <c r="V243" s="1"/>
      <c r="W243" s="1"/>
      <c r="X243" s="1"/>
      <c r="Y243" s="1"/>
      <c r="AH243" s="1"/>
      <c r="AI243" s="1"/>
      <c r="AJ243" s="1"/>
      <c r="AK243" s="1"/>
      <c r="AL243" s="1"/>
      <c r="AM243" s="1"/>
      <c r="AN243" s="1"/>
    </row>
    <row r="244" spans="16:40" ht="15.75" customHeight="1" x14ac:dyDescent="0.25">
      <c r="P244" s="1"/>
      <c r="Q244" s="1"/>
      <c r="R244" s="1"/>
      <c r="S244" s="1"/>
      <c r="T244" s="1"/>
      <c r="U244" s="1"/>
      <c r="V244" s="1"/>
      <c r="W244" s="1"/>
      <c r="X244" s="1"/>
      <c r="Y244" s="1"/>
      <c r="AH244" s="1"/>
      <c r="AI244" s="1"/>
      <c r="AJ244" s="1"/>
      <c r="AK244" s="1"/>
      <c r="AL244" s="1"/>
      <c r="AM244" s="1"/>
      <c r="AN244" s="1"/>
    </row>
    <row r="245" spans="16:40" ht="15.75" customHeight="1" x14ac:dyDescent="0.25">
      <c r="P245" s="1"/>
      <c r="Q245" s="1"/>
      <c r="R245" s="1"/>
      <c r="S245" s="1"/>
      <c r="T245" s="1"/>
      <c r="U245" s="1"/>
      <c r="V245" s="1"/>
      <c r="W245" s="1"/>
      <c r="X245" s="1"/>
      <c r="Y245" s="1"/>
      <c r="AH245" s="1"/>
      <c r="AI245" s="1"/>
      <c r="AJ245" s="1"/>
      <c r="AK245" s="1"/>
      <c r="AL245" s="1"/>
      <c r="AM245" s="1"/>
      <c r="AN245" s="1"/>
    </row>
    <row r="246" spans="16:40" ht="15.75" customHeight="1" x14ac:dyDescent="0.25">
      <c r="P246" s="1"/>
      <c r="Q246" s="1"/>
      <c r="R246" s="1"/>
      <c r="S246" s="1"/>
      <c r="T246" s="1"/>
      <c r="U246" s="1"/>
      <c r="V246" s="1"/>
      <c r="W246" s="1"/>
      <c r="X246" s="1"/>
      <c r="Y246" s="1"/>
      <c r="AH246" s="1"/>
      <c r="AI246" s="1"/>
      <c r="AJ246" s="1"/>
      <c r="AK246" s="1"/>
      <c r="AL246" s="1"/>
      <c r="AM246" s="1"/>
      <c r="AN246" s="1"/>
    </row>
    <row r="247" spans="16:40" ht="15.75" customHeight="1" x14ac:dyDescent="0.25">
      <c r="P247" s="1"/>
      <c r="Q247" s="1"/>
      <c r="R247" s="1"/>
      <c r="S247" s="1"/>
      <c r="T247" s="1"/>
      <c r="U247" s="1"/>
      <c r="V247" s="1"/>
      <c r="W247" s="1"/>
      <c r="X247" s="1"/>
      <c r="Y247" s="1"/>
      <c r="AH247" s="1"/>
      <c r="AI247" s="1"/>
      <c r="AJ247" s="1"/>
      <c r="AK247" s="1"/>
      <c r="AL247" s="1"/>
      <c r="AM247" s="1"/>
      <c r="AN247" s="1"/>
    </row>
    <row r="248" spans="16:40" ht="15.75" customHeight="1" x14ac:dyDescent="0.25">
      <c r="P248" s="1"/>
      <c r="Q248" s="1"/>
      <c r="R248" s="1"/>
      <c r="S248" s="1"/>
      <c r="T248" s="1"/>
      <c r="U248" s="1"/>
      <c r="V248" s="1"/>
      <c r="W248" s="1"/>
      <c r="X248" s="1"/>
      <c r="Y248" s="1"/>
      <c r="AH248" s="1"/>
      <c r="AI248" s="1"/>
      <c r="AJ248" s="1"/>
      <c r="AK248" s="1"/>
      <c r="AL248" s="1"/>
      <c r="AM248" s="1"/>
      <c r="AN248" s="1"/>
    </row>
    <row r="249" spans="16:40" ht="15.75" customHeight="1" x14ac:dyDescent="0.25">
      <c r="P249" s="1"/>
      <c r="Q249" s="1"/>
      <c r="R249" s="1"/>
      <c r="S249" s="1"/>
      <c r="T249" s="1"/>
      <c r="U249" s="1"/>
      <c r="V249" s="1"/>
      <c r="W249" s="1"/>
      <c r="X249" s="1"/>
      <c r="Y249" s="1"/>
      <c r="AH249" s="1"/>
      <c r="AI249" s="1"/>
      <c r="AJ249" s="1"/>
      <c r="AK249" s="1"/>
      <c r="AL249" s="1"/>
      <c r="AM249" s="1"/>
      <c r="AN249" s="1"/>
    </row>
    <row r="250" spans="16:40" ht="15.75" customHeight="1" x14ac:dyDescent="0.25">
      <c r="P250" s="1"/>
      <c r="Q250" s="1"/>
      <c r="R250" s="1"/>
      <c r="S250" s="1"/>
      <c r="T250" s="1"/>
      <c r="U250" s="1"/>
      <c r="V250" s="1"/>
      <c r="W250" s="1"/>
      <c r="X250" s="1"/>
      <c r="Y250" s="1"/>
      <c r="AH250" s="1"/>
      <c r="AI250" s="1"/>
      <c r="AJ250" s="1"/>
      <c r="AK250" s="1"/>
      <c r="AL250" s="1"/>
      <c r="AM250" s="1"/>
      <c r="AN250" s="1"/>
    </row>
    <row r="251" spans="16:40" ht="15.75" customHeight="1" x14ac:dyDescent="0.25">
      <c r="P251" s="1"/>
      <c r="Q251" s="1"/>
      <c r="R251" s="1"/>
      <c r="S251" s="1"/>
      <c r="T251" s="1"/>
      <c r="U251" s="1"/>
      <c r="V251" s="1"/>
      <c r="W251" s="1"/>
      <c r="X251" s="1"/>
      <c r="Y251" s="1"/>
      <c r="AH251" s="1"/>
      <c r="AI251" s="1"/>
      <c r="AJ251" s="1"/>
      <c r="AK251" s="1"/>
      <c r="AL251" s="1"/>
      <c r="AM251" s="1"/>
      <c r="AN251" s="1"/>
    </row>
    <row r="252" spans="16:40" ht="15.75" customHeight="1" x14ac:dyDescent="0.25">
      <c r="P252" s="1"/>
      <c r="Q252" s="1"/>
      <c r="R252" s="1"/>
      <c r="S252" s="1"/>
      <c r="T252" s="1"/>
      <c r="U252" s="1"/>
      <c r="V252" s="1"/>
      <c r="W252" s="1"/>
      <c r="X252" s="1"/>
      <c r="Y252" s="1"/>
      <c r="AH252" s="1"/>
      <c r="AI252" s="1"/>
      <c r="AJ252" s="1"/>
      <c r="AK252" s="1"/>
      <c r="AL252" s="1"/>
      <c r="AM252" s="1"/>
      <c r="AN252" s="1"/>
    </row>
    <row r="253" spans="16:40" ht="15.75" customHeight="1" x14ac:dyDescent="0.25">
      <c r="P253" s="1"/>
      <c r="Q253" s="1"/>
      <c r="R253" s="1"/>
      <c r="S253" s="1"/>
      <c r="T253" s="1"/>
      <c r="U253" s="1"/>
      <c r="V253" s="1"/>
      <c r="W253" s="1"/>
      <c r="X253" s="1"/>
      <c r="Y253" s="1"/>
      <c r="AH253" s="1"/>
      <c r="AI253" s="1"/>
      <c r="AJ253" s="1"/>
      <c r="AK253" s="1"/>
      <c r="AL253" s="1"/>
      <c r="AM253" s="1"/>
      <c r="AN253" s="1"/>
    </row>
    <row r="254" spans="16:40" ht="15.75" customHeight="1" x14ac:dyDescent="0.25">
      <c r="P254" s="1"/>
      <c r="Q254" s="1"/>
      <c r="R254" s="1"/>
      <c r="S254" s="1"/>
      <c r="T254" s="1"/>
      <c r="U254" s="1"/>
      <c r="V254" s="1"/>
      <c r="W254" s="1"/>
      <c r="X254" s="1"/>
      <c r="Y254" s="1"/>
      <c r="AH254" s="1"/>
      <c r="AI254" s="1"/>
      <c r="AJ254" s="1"/>
      <c r="AK254" s="1"/>
      <c r="AL254" s="1"/>
      <c r="AM254" s="1"/>
      <c r="AN254" s="1"/>
    </row>
    <row r="255" spans="16:40" ht="15.75" customHeight="1" x14ac:dyDescent="0.25">
      <c r="P255" s="1"/>
      <c r="Q255" s="1"/>
      <c r="R255" s="1"/>
      <c r="S255" s="1"/>
      <c r="T255" s="1"/>
      <c r="U255" s="1"/>
      <c r="V255" s="1"/>
      <c r="W255" s="1"/>
      <c r="X255" s="1"/>
      <c r="Y255" s="1"/>
      <c r="AH255" s="1"/>
      <c r="AI255" s="1"/>
      <c r="AJ255" s="1"/>
      <c r="AK255" s="1"/>
      <c r="AL255" s="1"/>
      <c r="AM255" s="1"/>
      <c r="AN255" s="1"/>
    </row>
    <row r="256" spans="16:40" ht="15.75" customHeight="1" x14ac:dyDescent="0.25">
      <c r="P256" s="1"/>
      <c r="Q256" s="1"/>
      <c r="R256" s="1"/>
      <c r="S256" s="1"/>
      <c r="T256" s="1"/>
      <c r="U256" s="1"/>
      <c r="V256" s="1"/>
      <c r="W256" s="1"/>
      <c r="X256" s="1"/>
      <c r="Y256" s="1"/>
      <c r="AH256" s="1"/>
      <c r="AI256" s="1"/>
      <c r="AJ256" s="1"/>
      <c r="AK256" s="1"/>
      <c r="AL256" s="1"/>
      <c r="AM256" s="1"/>
      <c r="AN256" s="1"/>
    </row>
    <row r="257" spans="16:40" ht="15.75" customHeight="1" x14ac:dyDescent="0.25">
      <c r="P257" s="1"/>
      <c r="Q257" s="1"/>
      <c r="R257" s="1"/>
      <c r="S257" s="1"/>
      <c r="T257" s="1"/>
      <c r="U257" s="1"/>
      <c r="V257" s="1"/>
      <c r="W257" s="1"/>
      <c r="X257" s="1"/>
      <c r="Y257" s="1"/>
      <c r="AH257" s="1"/>
      <c r="AI257" s="1"/>
      <c r="AJ257" s="1"/>
      <c r="AK257" s="1"/>
      <c r="AL257" s="1"/>
      <c r="AM257" s="1"/>
      <c r="AN257" s="1"/>
    </row>
    <row r="258" spans="16:40" ht="15.75" customHeight="1" x14ac:dyDescent="0.25">
      <c r="P258" s="1"/>
      <c r="Q258" s="1"/>
      <c r="R258" s="1"/>
      <c r="S258" s="1"/>
      <c r="T258" s="1"/>
      <c r="U258" s="1"/>
      <c r="V258" s="1"/>
      <c r="W258" s="1"/>
      <c r="X258" s="1"/>
      <c r="Y258" s="1"/>
      <c r="AH258" s="1"/>
      <c r="AI258" s="1"/>
      <c r="AJ258" s="1"/>
      <c r="AK258" s="1"/>
      <c r="AL258" s="1"/>
      <c r="AM258" s="1"/>
      <c r="AN258" s="1"/>
    </row>
    <row r="259" spans="16:40" ht="15.75" customHeight="1" x14ac:dyDescent="0.25">
      <c r="P259" s="1"/>
      <c r="Q259" s="1"/>
      <c r="R259" s="1"/>
      <c r="S259" s="1"/>
      <c r="T259" s="1"/>
      <c r="U259" s="1"/>
      <c r="V259" s="1"/>
      <c r="W259" s="1"/>
      <c r="X259" s="1"/>
      <c r="Y259" s="1"/>
      <c r="AH259" s="1"/>
      <c r="AI259" s="1"/>
      <c r="AJ259" s="1"/>
      <c r="AK259" s="1"/>
      <c r="AL259" s="1"/>
      <c r="AM259" s="1"/>
      <c r="AN259" s="1"/>
    </row>
    <row r="260" spans="16:40" ht="15.75" customHeight="1" x14ac:dyDescent="0.25">
      <c r="P260" s="1"/>
      <c r="Q260" s="1"/>
      <c r="R260" s="1"/>
      <c r="S260" s="1"/>
      <c r="T260" s="1"/>
      <c r="U260" s="1"/>
      <c r="V260" s="1"/>
      <c r="W260" s="1"/>
      <c r="X260" s="1"/>
      <c r="Y260" s="1"/>
      <c r="AH260" s="1"/>
      <c r="AI260" s="1"/>
      <c r="AJ260" s="1"/>
      <c r="AK260" s="1"/>
      <c r="AL260" s="1"/>
      <c r="AM260" s="1"/>
      <c r="AN260" s="1"/>
    </row>
    <row r="261" spans="16:40" ht="15.75" customHeight="1" x14ac:dyDescent="0.25">
      <c r="P261" s="1"/>
      <c r="Q261" s="1"/>
      <c r="R261" s="1"/>
      <c r="S261" s="1"/>
      <c r="T261" s="1"/>
      <c r="U261" s="1"/>
      <c r="V261" s="1"/>
      <c r="W261" s="1"/>
      <c r="X261" s="1"/>
      <c r="Y261" s="1"/>
      <c r="AH261" s="1"/>
      <c r="AI261" s="1"/>
      <c r="AJ261" s="1"/>
      <c r="AK261" s="1"/>
      <c r="AL261" s="1"/>
      <c r="AM261" s="1"/>
      <c r="AN261" s="1"/>
    </row>
    <row r="262" spans="16:40" ht="15.75" customHeight="1" x14ac:dyDescent="0.25">
      <c r="P262" s="1"/>
      <c r="Q262" s="1"/>
      <c r="R262" s="1"/>
      <c r="S262" s="1"/>
      <c r="T262" s="1"/>
      <c r="U262" s="1"/>
      <c r="V262" s="1"/>
      <c r="W262" s="1"/>
      <c r="X262" s="1"/>
      <c r="Y262" s="1"/>
      <c r="AH262" s="1"/>
      <c r="AI262" s="1"/>
      <c r="AJ262" s="1"/>
      <c r="AK262" s="1"/>
      <c r="AL262" s="1"/>
      <c r="AM262" s="1"/>
      <c r="AN262" s="1"/>
    </row>
    <row r="263" spans="16:40" ht="15.75" customHeight="1" x14ac:dyDescent="0.25">
      <c r="P263" s="1"/>
      <c r="Q263" s="1"/>
      <c r="R263" s="1"/>
      <c r="S263" s="1"/>
      <c r="T263" s="1"/>
      <c r="U263" s="1"/>
      <c r="V263" s="1"/>
      <c r="W263" s="1"/>
      <c r="X263" s="1"/>
      <c r="Y263" s="1"/>
      <c r="AH263" s="1"/>
      <c r="AI263" s="1"/>
      <c r="AJ263" s="1"/>
      <c r="AK263" s="1"/>
      <c r="AL263" s="1"/>
      <c r="AM263" s="1"/>
      <c r="AN263" s="1"/>
    </row>
    <row r="264" spans="16:40" ht="15.75" customHeight="1" x14ac:dyDescent="0.25">
      <c r="P264" s="1"/>
      <c r="Q264" s="1"/>
      <c r="R264" s="1"/>
      <c r="S264" s="1"/>
      <c r="T264" s="1"/>
      <c r="U264" s="1"/>
      <c r="V264" s="1"/>
      <c r="W264" s="1"/>
      <c r="X264" s="1"/>
      <c r="Y264" s="1"/>
      <c r="AH264" s="1"/>
      <c r="AI264" s="1"/>
      <c r="AJ264" s="1"/>
      <c r="AK264" s="1"/>
      <c r="AL264" s="1"/>
      <c r="AM264" s="1"/>
      <c r="AN264" s="1"/>
    </row>
    <row r="265" spans="16:40" ht="15.75" customHeight="1" x14ac:dyDescent="0.25">
      <c r="P265" s="1"/>
      <c r="Q265" s="1"/>
      <c r="R265" s="1"/>
      <c r="S265" s="1"/>
      <c r="T265" s="1"/>
      <c r="U265" s="1"/>
      <c r="V265" s="1"/>
      <c r="W265" s="1"/>
      <c r="X265" s="1"/>
      <c r="Y265" s="1"/>
      <c r="AH265" s="1"/>
      <c r="AI265" s="1"/>
      <c r="AJ265" s="1"/>
      <c r="AK265" s="1"/>
      <c r="AL265" s="1"/>
      <c r="AM265" s="1"/>
      <c r="AN265" s="1"/>
    </row>
    <row r="266" spans="16:40" ht="15.75" customHeight="1" x14ac:dyDescent="0.25">
      <c r="P266" s="1"/>
      <c r="Q266" s="1"/>
      <c r="R266" s="1"/>
      <c r="S266" s="1"/>
      <c r="T266" s="1"/>
      <c r="U266" s="1"/>
      <c r="V266" s="1"/>
      <c r="W266" s="1"/>
      <c r="X266" s="1"/>
      <c r="Y266" s="1"/>
      <c r="AH266" s="1"/>
      <c r="AI266" s="1"/>
      <c r="AJ266" s="1"/>
      <c r="AK266" s="1"/>
      <c r="AL266" s="1"/>
      <c r="AM266" s="1"/>
      <c r="AN266" s="1"/>
    </row>
    <row r="267" spans="16:40" ht="15.75" customHeight="1" x14ac:dyDescent="0.25">
      <c r="P267" s="1"/>
      <c r="Q267" s="1"/>
      <c r="R267" s="1"/>
      <c r="S267" s="1"/>
      <c r="T267" s="1"/>
      <c r="U267" s="1"/>
      <c r="V267" s="1"/>
      <c r="W267" s="1"/>
      <c r="X267" s="1"/>
      <c r="Y267" s="1"/>
      <c r="AH267" s="1"/>
      <c r="AI267" s="1"/>
      <c r="AJ267" s="1"/>
      <c r="AK267" s="1"/>
      <c r="AL267" s="1"/>
      <c r="AM267" s="1"/>
      <c r="AN267" s="1"/>
    </row>
    <row r="268" spans="16:40" ht="15.75" customHeight="1" x14ac:dyDescent="0.25">
      <c r="P268" s="1"/>
      <c r="Q268" s="1"/>
      <c r="R268" s="1"/>
      <c r="S268" s="1"/>
      <c r="T268" s="1"/>
      <c r="U268" s="1"/>
      <c r="V268" s="1"/>
      <c r="W268" s="1"/>
      <c r="X268" s="1"/>
      <c r="Y268" s="1"/>
      <c r="AH268" s="1"/>
      <c r="AI268" s="1"/>
      <c r="AJ268" s="1"/>
      <c r="AK268" s="1"/>
      <c r="AL268" s="1"/>
      <c r="AM268" s="1"/>
      <c r="AN268" s="1"/>
    </row>
    <row r="269" spans="16:40" ht="15.75" customHeight="1" x14ac:dyDescent="0.25">
      <c r="P269" s="1"/>
      <c r="Q269" s="1"/>
      <c r="R269" s="1"/>
      <c r="S269" s="1"/>
      <c r="T269" s="1"/>
      <c r="U269" s="1"/>
      <c r="V269" s="1"/>
      <c r="W269" s="1"/>
      <c r="X269" s="1"/>
      <c r="Y269" s="1"/>
      <c r="AH269" s="1"/>
      <c r="AI269" s="1"/>
      <c r="AJ269" s="1"/>
      <c r="AK269" s="1"/>
      <c r="AL269" s="1"/>
      <c r="AM269" s="1"/>
      <c r="AN269" s="1"/>
    </row>
    <row r="270" spans="16:40" ht="15.75" customHeight="1" x14ac:dyDescent="0.25">
      <c r="P270" s="1"/>
      <c r="Q270" s="1"/>
      <c r="R270" s="1"/>
      <c r="S270" s="1"/>
      <c r="T270" s="1"/>
      <c r="U270" s="1"/>
      <c r="V270" s="1"/>
      <c r="W270" s="1"/>
      <c r="X270" s="1"/>
      <c r="Y270" s="1"/>
      <c r="AH270" s="1"/>
      <c r="AI270" s="1"/>
      <c r="AJ270" s="1"/>
      <c r="AK270" s="1"/>
      <c r="AL270" s="1"/>
      <c r="AM270" s="1"/>
      <c r="AN270" s="1"/>
    </row>
    <row r="271" spans="16:40" ht="15.75" customHeight="1" x14ac:dyDescent="0.25">
      <c r="P271" s="1"/>
      <c r="Q271" s="1"/>
      <c r="R271" s="1"/>
      <c r="S271" s="1"/>
      <c r="T271" s="1"/>
      <c r="U271" s="1"/>
      <c r="V271" s="1"/>
      <c r="W271" s="1"/>
      <c r="X271" s="1"/>
      <c r="Y271" s="1"/>
      <c r="AH271" s="1"/>
      <c r="AI271" s="1"/>
      <c r="AJ271" s="1"/>
      <c r="AK271" s="1"/>
      <c r="AL271" s="1"/>
      <c r="AM271" s="1"/>
      <c r="AN271" s="1"/>
    </row>
    <row r="272" spans="16:40" ht="15.75" customHeight="1" x14ac:dyDescent="0.25">
      <c r="P272" s="1"/>
      <c r="Q272" s="1"/>
      <c r="R272" s="1"/>
      <c r="S272" s="1"/>
      <c r="T272" s="1"/>
      <c r="U272" s="1"/>
      <c r="V272" s="1"/>
      <c r="W272" s="1"/>
      <c r="X272" s="1"/>
      <c r="Y272" s="1"/>
      <c r="AH272" s="1"/>
      <c r="AI272" s="1"/>
      <c r="AJ272" s="1"/>
      <c r="AK272" s="1"/>
      <c r="AL272" s="1"/>
      <c r="AM272" s="1"/>
      <c r="AN272" s="1"/>
    </row>
    <row r="273" spans="16:40" ht="15.75" customHeight="1" x14ac:dyDescent="0.25">
      <c r="P273" s="1"/>
      <c r="Q273" s="1"/>
      <c r="R273" s="1"/>
      <c r="S273" s="1"/>
      <c r="T273" s="1"/>
      <c r="U273" s="1"/>
      <c r="V273" s="1"/>
      <c r="W273" s="1"/>
      <c r="X273" s="1"/>
      <c r="Y273" s="1"/>
      <c r="AH273" s="1"/>
      <c r="AI273" s="1"/>
      <c r="AJ273" s="1"/>
      <c r="AK273" s="1"/>
      <c r="AL273" s="1"/>
      <c r="AM273" s="1"/>
      <c r="AN273" s="1"/>
    </row>
    <row r="274" spans="16:40" ht="15.75" customHeight="1" x14ac:dyDescent="0.25">
      <c r="P274" s="1"/>
      <c r="Q274" s="1"/>
      <c r="R274" s="1"/>
      <c r="S274" s="1"/>
      <c r="T274" s="1"/>
      <c r="U274" s="1"/>
      <c r="V274" s="1"/>
      <c r="W274" s="1"/>
      <c r="X274" s="1"/>
      <c r="Y274" s="1"/>
      <c r="AH274" s="1"/>
      <c r="AI274" s="1"/>
      <c r="AJ274" s="1"/>
      <c r="AK274" s="1"/>
      <c r="AL274" s="1"/>
      <c r="AM274" s="1"/>
      <c r="AN274" s="1"/>
    </row>
    <row r="275" spans="16:40" ht="15.75" customHeight="1" x14ac:dyDescent="0.25">
      <c r="P275" s="1"/>
      <c r="Q275" s="1"/>
      <c r="R275" s="1"/>
      <c r="S275" s="1"/>
      <c r="T275" s="1"/>
      <c r="U275" s="1"/>
      <c r="V275" s="1"/>
      <c r="W275" s="1"/>
      <c r="X275" s="1"/>
      <c r="Y275" s="1"/>
      <c r="AH275" s="1"/>
      <c r="AI275" s="1"/>
      <c r="AJ275" s="1"/>
      <c r="AK275" s="1"/>
      <c r="AL275" s="1"/>
      <c r="AM275" s="1"/>
      <c r="AN275" s="1"/>
    </row>
    <row r="276" spans="16:40" ht="15.75" customHeight="1" x14ac:dyDescent="0.25">
      <c r="P276" s="1"/>
      <c r="Q276" s="1"/>
      <c r="R276" s="1"/>
      <c r="S276" s="1"/>
      <c r="T276" s="1"/>
      <c r="U276" s="1"/>
      <c r="V276" s="1"/>
      <c r="W276" s="1"/>
      <c r="X276" s="1"/>
      <c r="Y276" s="1"/>
      <c r="AH276" s="1"/>
      <c r="AI276" s="1"/>
      <c r="AJ276" s="1"/>
      <c r="AK276" s="1"/>
      <c r="AL276" s="1"/>
      <c r="AM276" s="1"/>
      <c r="AN276" s="1"/>
    </row>
    <row r="277" spans="16:40" ht="15.75" customHeight="1" x14ac:dyDescent="0.25">
      <c r="P277" s="1"/>
      <c r="Q277" s="1"/>
      <c r="R277" s="1"/>
      <c r="S277" s="1"/>
      <c r="T277" s="1"/>
      <c r="U277" s="1"/>
      <c r="V277" s="1"/>
      <c r="W277" s="1"/>
      <c r="X277" s="1"/>
      <c r="Y277" s="1"/>
      <c r="AH277" s="1"/>
      <c r="AI277" s="1"/>
      <c r="AJ277" s="1"/>
      <c r="AK277" s="1"/>
      <c r="AL277" s="1"/>
      <c r="AM277" s="1"/>
      <c r="AN277" s="1"/>
    </row>
    <row r="278" spans="16:40" ht="15.75" customHeight="1" x14ac:dyDescent="0.25">
      <c r="P278" s="1"/>
      <c r="Q278" s="1"/>
      <c r="R278" s="1"/>
      <c r="S278" s="1"/>
      <c r="T278" s="1"/>
      <c r="U278" s="1"/>
      <c r="V278" s="1"/>
      <c r="W278" s="1"/>
      <c r="X278" s="1"/>
      <c r="Y278" s="1"/>
      <c r="AH278" s="1"/>
      <c r="AI278" s="1"/>
      <c r="AJ278" s="1"/>
      <c r="AK278" s="1"/>
      <c r="AL278" s="1"/>
      <c r="AM278" s="1"/>
      <c r="AN278" s="1"/>
    </row>
    <row r="279" spans="16:40" ht="15.75" customHeight="1" x14ac:dyDescent="0.25">
      <c r="P279" s="1"/>
      <c r="Q279" s="1"/>
      <c r="R279" s="1"/>
      <c r="S279" s="1"/>
      <c r="T279" s="1"/>
      <c r="U279" s="1"/>
      <c r="V279" s="1"/>
      <c r="W279" s="1"/>
      <c r="X279" s="1"/>
      <c r="Y279" s="1"/>
      <c r="AH279" s="1"/>
      <c r="AI279" s="1"/>
      <c r="AJ279" s="1"/>
      <c r="AK279" s="1"/>
      <c r="AL279" s="1"/>
      <c r="AM279" s="1"/>
      <c r="AN279" s="1"/>
    </row>
    <row r="280" spans="16:40" ht="15.75" customHeight="1" x14ac:dyDescent="0.25">
      <c r="P280" s="1"/>
      <c r="Q280" s="1"/>
      <c r="R280" s="1"/>
      <c r="S280" s="1"/>
      <c r="T280" s="1"/>
      <c r="U280" s="1"/>
      <c r="V280" s="1"/>
      <c r="W280" s="1"/>
      <c r="X280" s="1"/>
      <c r="Y280" s="1"/>
      <c r="AH280" s="1"/>
      <c r="AI280" s="1"/>
      <c r="AJ280" s="1"/>
      <c r="AK280" s="1"/>
      <c r="AL280" s="1"/>
      <c r="AM280" s="1"/>
      <c r="AN280" s="1"/>
    </row>
    <row r="281" spans="16:40" ht="15.75" customHeight="1" x14ac:dyDescent="0.25">
      <c r="P281" s="1"/>
      <c r="Q281" s="1"/>
      <c r="R281" s="1"/>
      <c r="S281" s="1"/>
      <c r="T281" s="1"/>
      <c r="U281" s="1"/>
      <c r="V281" s="1"/>
      <c r="W281" s="1"/>
      <c r="X281" s="1"/>
      <c r="Y281" s="1"/>
      <c r="AH281" s="1"/>
      <c r="AI281" s="1"/>
      <c r="AJ281" s="1"/>
      <c r="AK281" s="1"/>
      <c r="AL281" s="1"/>
      <c r="AM281" s="1"/>
      <c r="AN281" s="1"/>
    </row>
    <row r="282" spans="16:40" ht="15.75" customHeight="1" x14ac:dyDescent="0.25">
      <c r="P282" s="1"/>
      <c r="Q282" s="1"/>
      <c r="R282" s="1"/>
      <c r="S282" s="1"/>
      <c r="T282" s="1"/>
      <c r="U282" s="1"/>
      <c r="V282" s="1"/>
      <c r="W282" s="1"/>
      <c r="X282" s="1"/>
      <c r="Y282" s="1"/>
      <c r="AH282" s="1"/>
      <c r="AI282" s="1"/>
      <c r="AJ282" s="1"/>
      <c r="AK282" s="1"/>
      <c r="AL282" s="1"/>
      <c r="AM282" s="1"/>
      <c r="AN282" s="1"/>
    </row>
    <row r="283" spans="16:40" ht="15.75" customHeight="1" x14ac:dyDescent="0.25">
      <c r="P283" s="1"/>
      <c r="Q283" s="1"/>
      <c r="R283" s="1"/>
      <c r="S283" s="1"/>
      <c r="T283" s="1"/>
      <c r="U283" s="1"/>
      <c r="V283" s="1"/>
      <c r="W283" s="1"/>
      <c r="X283" s="1"/>
      <c r="Y283" s="1"/>
      <c r="AH283" s="1"/>
      <c r="AI283" s="1"/>
      <c r="AJ283" s="1"/>
      <c r="AK283" s="1"/>
      <c r="AL283" s="1"/>
      <c r="AM283" s="1"/>
      <c r="AN283" s="1"/>
    </row>
    <row r="284" spans="16:40" ht="15.75" customHeight="1" x14ac:dyDescent="0.25">
      <c r="P284" s="1"/>
      <c r="Q284" s="1"/>
      <c r="R284" s="1"/>
      <c r="S284" s="1"/>
      <c r="T284" s="1"/>
      <c r="U284" s="1"/>
      <c r="V284" s="1"/>
      <c r="W284" s="1"/>
      <c r="X284" s="1"/>
      <c r="Y284" s="1"/>
      <c r="AH284" s="1"/>
      <c r="AI284" s="1"/>
      <c r="AJ284" s="1"/>
      <c r="AK284" s="1"/>
      <c r="AL284" s="1"/>
      <c r="AM284" s="1"/>
      <c r="AN284" s="1"/>
    </row>
    <row r="285" spans="16:40" ht="15.75" customHeight="1" x14ac:dyDescent="0.25">
      <c r="P285" s="1"/>
      <c r="Q285" s="1"/>
      <c r="R285" s="1"/>
      <c r="S285" s="1"/>
      <c r="T285" s="1"/>
      <c r="U285" s="1"/>
      <c r="V285" s="1"/>
      <c r="W285" s="1"/>
      <c r="X285" s="1"/>
      <c r="Y285" s="1"/>
      <c r="AH285" s="1"/>
      <c r="AI285" s="1"/>
      <c r="AJ285" s="1"/>
      <c r="AK285" s="1"/>
      <c r="AL285" s="1"/>
      <c r="AM285" s="1"/>
      <c r="AN285" s="1"/>
    </row>
    <row r="286" spans="16:40" ht="15.75" customHeight="1" x14ac:dyDescent="0.25">
      <c r="P286" s="1"/>
      <c r="Q286" s="1"/>
      <c r="R286" s="1"/>
      <c r="S286" s="1"/>
      <c r="T286" s="1"/>
      <c r="U286" s="1"/>
      <c r="V286" s="1"/>
      <c r="W286" s="1"/>
      <c r="X286" s="1"/>
      <c r="Y286" s="1"/>
      <c r="AH286" s="1"/>
      <c r="AI286" s="1"/>
      <c r="AJ286" s="1"/>
      <c r="AK286" s="1"/>
      <c r="AL286" s="1"/>
      <c r="AM286" s="1"/>
      <c r="AN286" s="1"/>
    </row>
    <row r="287" spans="16:40" ht="15.75" customHeight="1" x14ac:dyDescent="0.25">
      <c r="P287" s="1"/>
      <c r="Q287" s="1"/>
      <c r="R287" s="1"/>
      <c r="S287" s="1"/>
      <c r="T287" s="1"/>
      <c r="U287" s="1"/>
      <c r="V287" s="1"/>
      <c r="W287" s="1"/>
      <c r="X287" s="1"/>
      <c r="Y287" s="1"/>
      <c r="AH287" s="1"/>
      <c r="AI287" s="1"/>
      <c r="AJ287" s="1"/>
      <c r="AK287" s="1"/>
      <c r="AL287" s="1"/>
      <c r="AM287" s="1"/>
      <c r="AN287" s="1"/>
    </row>
    <row r="288" spans="16:40" ht="15.75" customHeight="1" x14ac:dyDescent="0.25">
      <c r="P288" s="1"/>
      <c r="Q288" s="1"/>
      <c r="R288" s="1"/>
      <c r="S288" s="1"/>
      <c r="T288" s="1"/>
      <c r="U288" s="1"/>
      <c r="V288" s="1"/>
      <c r="W288" s="1"/>
      <c r="X288" s="1"/>
      <c r="Y288" s="1"/>
      <c r="AH288" s="1"/>
      <c r="AI288" s="1"/>
      <c r="AJ288" s="1"/>
      <c r="AK288" s="1"/>
      <c r="AL288" s="1"/>
      <c r="AM288" s="1"/>
      <c r="AN288" s="1"/>
    </row>
    <row r="289" spans="16:40" ht="15.75" customHeight="1" x14ac:dyDescent="0.25">
      <c r="P289" s="1"/>
      <c r="Q289" s="1"/>
      <c r="R289" s="1"/>
      <c r="S289" s="1"/>
      <c r="T289" s="1"/>
      <c r="U289" s="1"/>
      <c r="V289" s="1"/>
      <c r="W289" s="1"/>
      <c r="X289" s="1"/>
      <c r="Y289" s="1"/>
      <c r="AH289" s="1"/>
      <c r="AI289" s="1"/>
      <c r="AJ289" s="1"/>
      <c r="AK289" s="1"/>
      <c r="AL289" s="1"/>
      <c r="AM289" s="1"/>
      <c r="AN289" s="1"/>
    </row>
    <row r="290" spans="16:40" ht="15.75" customHeight="1" x14ac:dyDescent="0.25">
      <c r="P290" s="1"/>
      <c r="Q290" s="1"/>
      <c r="R290" s="1"/>
      <c r="S290" s="1"/>
      <c r="T290" s="1"/>
      <c r="U290" s="1"/>
      <c r="V290" s="1"/>
      <c r="W290" s="1"/>
      <c r="X290" s="1"/>
      <c r="Y290" s="1"/>
      <c r="AH290" s="1"/>
      <c r="AI290" s="1"/>
      <c r="AJ290" s="1"/>
      <c r="AK290" s="1"/>
      <c r="AL290" s="1"/>
      <c r="AM290" s="1"/>
      <c r="AN290" s="1"/>
    </row>
    <row r="291" spans="16:40" ht="15.75" customHeight="1" x14ac:dyDescent="0.25">
      <c r="P291" s="1"/>
      <c r="Q291" s="1"/>
      <c r="R291" s="1"/>
      <c r="S291" s="1"/>
      <c r="T291" s="1"/>
      <c r="U291" s="1"/>
      <c r="V291" s="1"/>
      <c r="W291" s="1"/>
      <c r="X291" s="1"/>
      <c r="Y291" s="1"/>
      <c r="AH291" s="1"/>
      <c r="AI291" s="1"/>
      <c r="AJ291" s="1"/>
      <c r="AK291" s="1"/>
      <c r="AL291" s="1"/>
      <c r="AM291" s="1"/>
      <c r="AN291" s="1"/>
    </row>
    <row r="292" spans="16:40" ht="15.75" customHeight="1" x14ac:dyDescent="0.25">
      <c r="P292" s="1"/>
      <c r="Q292" s="1"/>
      <c r="R292" s="1"/>
      <c r="S292" s="1"/>
      <c r="T292" s="1"/>
      <c r="U292" s="1"/>
      <c r="V292" s="1"/>
      <c r="W292" s="1"/>
      <c r="X292" s="1"/>
      <c r="Y292" s="1"/>
      <c r="AH292" s="1"/>
      <c r="AI292" s="1"/>
      <c r="AJ292" s="1"/>
      <c r="AK292" s="1"/>
      <c r="AL292" s="1"/>
      <c r="AM292" s="1"/>
      <c r="AN292" s="1"/>
    </row>
    <row r="293" spans="16:40" ht="15.75" customHeight="1" x14ac:dyDescent="0.25">
      <c r="P293" s="1"/>
      <c r="Q293" s="1"/>
      <c r="R293" s="1"/>
      <c r="S293" s="1"/>
      <c r="T293" s="1"/>
      <c r="U293" s="1"/>
      <c r="V293" s="1"/>
      <c r="W293" s="1"/>
      <c r="X293" s="1"/>
      <c r="Y293" s="1"/>
      <c r="AH293" s="1"/>
      <c r="AI293" s="1"/>
      <c r="AJ293" s="1"/>
      <c r="AK293" s="1"/>
      <c r="AL293" s="1"/>
      <c r="AM293" s="1"/>
      <c r="AN293" s="1"/>
    </row>
    <row r="294" spans="16:40" ht="15.75" customHeight="1" x14ac:dyDescent="0.25">
      <c r="P294" s="1"/>
      <c r="Q294" s="1"/>
      <c r="R294" s="1"/>
      <c r="S294" s="1"/>
      <c r="T294" s="1"/>
      <c r="U294" s="1"/>
      <c r="V294" s="1"/>
      <c r="W294" s="1"/>
      <c r="X294" s="1"/>
      <c r="Y294" s="1"/>
      <c r="AH294" s="1"/>
      <c r="AI294" s="1"/>
      <c r="AJ294" s="1"/>
      <c r="AK294" s="1"/>
      <c r="AL294" s="1"/>
      <c r="AM294" s="1"/>
      <c r="AN294" s="1"/>
    </row>
    <row r="295" spans="16:40" ht="15.75" customHeight="1" x14ac:dyDescent="0.25">
      <c r="P295" s="1"/>
      <c r="Q295" s="1"/>
      <c r="R295" s="1"/>
      <c r="S295" s="1"/>
      <c r="T295" s="1"/>
      <c r="U295" s="1"/>
      <c r="V295" s="1"/>
      <c r="W295" s="1"/>
      <c r="X295" s="1"/>
      <c r="Y295" s="1"/>
      <c r="AH295" s="1"/>
      <c r="AI295" s="1"/>
      <c r="AJ295" s="1"/>
      <c r="AK295" s="1"/>
      <c r="AL295" s="1"/>
      <c r="AM295" s="1"/>
      <c r="AN295" s="1"/>
    </row>
    <row r="296" spans="16:40" ht="15.75" customHeight="1" x14ac:dyDescent="0.25">
      <c r="P296" s="1"/>
      <c r="Q296" s="1"/>
      <c r="R296" s="1"/>
      <c r="S296" s="1"/>
      <c r="T296" s="1"/>
      <c r="U296" s="1"/>
      <c r="V296" s="1"/>
      <c r="W296" s="1"/>
      <c r="X296" s="1"/>
      <c r="Y296" s="1"/>
      <c r="AH296" s="1"/>
      <c r="AI296" s="1"/>
      <c r="AJ296" s="1"/>
      <c r="AK296" s="1"/>
      <c r="AL296" s="1"/>
      <c r="AM296" s="1"/>
      <c r="AN296" s="1"/>
    </row>
    <row r="297" spans="16:40" ht="15.75" customHeight="1" x14ac:dyDescent="0.25">
      <c r="P297" s="1"/>
      <c r="Q297" s="1"/>
      <c r="R297" s="1"/>
      <c r="S297" s="1"/>
      <c r="T297" s="1"/>
      <c r="U297" s="1"/>
      <c r="V297" s="1"/>
      <c r="W297" s="1"/>
      <c r="X297" s="1"/>
      <c r="Y297" s="1"/>
      <c r="AH297" s="1"/>
      <c r="AI297" s="1"/>
      <c r="AJ297" s="1"/>
      <c r="AK297" s="1"/>
      <c r="AL297" s="1"/>
      <c r="AM297" s="1"/>
      <c r="AN297" s="1"/>
    </row>
    <row r="298" spans="16:40" ht="15.75" customHeight="1" x14ac:dyDescent="0.25">
      <c r="P298" s="1"/>
      <c r="Q298" s="1"/>
      <c r="R298" s="1"/>
      <c r="S298" s="1"/>
      <c r="T298" s="1"/>
      <c r="U298" s="1"/>
      <c r="V298" s="1"/>
      <c r="W298" s="1"/>
      <c r="X298" s="1"/>
      <c r="Y298" s="1"/>
      <c r="AH298" s="1"/>
      <c r="AI298" s="1"/>
      <c r="AJ298" s="1"/>
      <c r="AK298" s="1"/>
      <c r="AL298" s="1"/>
      <c r="AM298" s="1"/>
      <c r="AN298" s="1"/>
    </row>
    <row r="299" spans="16:40" ht="15.75" customHeight="1" x14ac:dyDescent="0.25">
      <c r="P299" s="1"/>
      <c r="Q299" s="1"/>
      <c r="R299" s="1"/>
      <c r="S299" s="1"/>
      <c r="T299" s="1"/>
      <c r="U299" s="1"/>
      <c r="V299" s="1"/>
      <c r="W299" s="1"/>
      <c r="X299" s="1"/>
      <c r="Y299" s="1"/>
      <c r="AH299" s="1"/>
      <c r="AI299" s="1"/>
      <c r="AJ299" s="1"/>
      <c r="AK299" s="1"/>
      <c r="AL299" s="1"/>
      <c r="AM299" s="1"/>
      <c r="AN299" s="1"/>
    </row>
    <row r="300" spans="16:40" ht="15.75" customHeight="1" x14ac:dyDescent="0.25">
      <c r="P300" s="1"/>
      <c r="Q300" s="1"/>
      <c r="R300" s="1"/>
      <c r="S300" s="1"/>
      <c r="T300" s="1"/>
      <c r="U300" s="1"/>
      <c r="V300" s="1"/>
      <c r="W300" s="1"/>
      <c r="X300" s="1"/>
      <c r="Y300" s="1"/>
      <c r="AH300" s="1"/>
      <c r="AI300" s="1"/>
      <c r="AJ300" s="1"/>
      <c r="AK300" s="1"/>
      <c r="AL300" s="1"/>
      <c r="AM300" s="1"/>
      <c r="AN300" s="1"/>
    </row>
    <row r="301" spans="16:40" ht="15.75" customHeight="1" x14ac:dyDescent="0.25">
      <c r="P301" s="1"/>
      <c r="Q301" s="1"/>
      <c r="R301" s="1"/>
      <c r="S301" s="1"/>
      <c r="T301" s="1"/>
      <c r="U301" s="1"/>
      <c r="V301" s="1"/>
      <c r="W301" s="1"/>
      <c r="X301" s="1"/>
      <c r="Y301" s="1"/>
      <c r="AH301" s="1"/>
      <c r="AI301" s="1"/>
      <c r="AJ301" s="1"/>
      <c r="AK301" s="1"/>
      <c r="AL301" s="1"/>
      <c r="AM301" s="1"/>
      <c r="AN301" s="1"/>
    </row>
    <row r="302" spans="16:40" ht="15.75" customHeight="1" x14ac:dyDescent="0.25">
      <c r="P302" s="1"/>
      <c r="Q302" s="1"/>
      <c r="R302" s="1"/>
      <c r="S302" s="1"/>
      <c r="T302" s="1"/>
      <c r="U302" s="1"/>
      <c r="V302" s="1"/>
      <c r="W302" s="1"/>
      <c r="X302" s="1"/>
      <c r="Y302" s="1"/>
      <c r="AH302" s="1"/>
      <c r="AI302" s="1"/>
      <c r="AJ302" s="1"/>
      <c r="AK302" s="1"/>
      <c r="AL302" s="1"/>
      <c r="AM302" s="1"/>
      <c r="AN302" s="1"/>
    </row>
    <row r="303" spans="16:40" ht="15.75" customHeight="1" x14ac:dyDescent="0.25">
      <c r="P303" s="1"/>
      <c r="Q303" s="1"/>
      <c r="R303" s="1"/>
      <c r="S303" s="1"/>
      <c r="T303" s="1"/>
      <c r="U303" s="1"/>
      <c r="V303" s="1"/>
      <c r="W303" s="1"/>
      <c r="X303" s="1"/>
      <c r="Y303" s="1"/>
      <c r="AH303" s="1"/>
      <c r="AI303" s="1"/>
      <c r="AJ303" s="1"/>
      <c r="AK303" s="1"/>
      <c r="AL303" s="1"/>
      <c r="AM303" s="1"/>
      <c r="AN303" s="1"/>
    </row>
    <row r="304" spans="16:40" ht="15.75" customHeight="1" x14ac:dyDescent="0.25">
      <c r="P304" s="1"/>
      <c r="Q304" s="1"/>
      <c r="R304" s="1"/>
      <c r="S304" s="1"/>
      <c r="T304" s="1"/>
      <c r="U304" s="1"/>
      <c r="V304" s="1"/>
      <c r="W304" s="1"/>
      <c r="X304" s="1"/>
      <c r="Y304" s="1"/>
      <c r="AH304" s="1"/>
      <c r="AI304" s="1"/>
      <c r="AJ304" s="1"/>
      <c r="AK304" s="1"/>
      <c r="AL304" s="1"/>
      <c r="AM304" s="1"/>
      <c r="AN304" s="1"/>
    </row>
    <row r="305" spans="16:40" ht="15.75" customHeight="1" x14ac:dyDescent="0.25">
      <c r="P305" s="1"/>
      <c r="Q305" s="1"/>
      <c r="R305" s="1"/>
      <c r="S305" s="1"/>
      <c r="T305" s="1"/>
      <c r="U305" s="1"/>
      <c r="V305" s="1"/>
      <c r="W305" s="1"/>
      <c r="X305" s="1"/>
      <c r="Y305" s="1"/>
      <c r="AH305" s="1"/>
      <c r="AI305" s="1"/>
      <c r="AJ305" s="1"/>
      <c r="AK305" s="1"/>
      <c r="AL305" s="1"/>
      <c r="AM305" s="1"/>
      <c r="AN305" s="1"/>
    </row>
    <row r="306" spans="16:40" ht="15.75" customHeight="1" x14ac:dyDescent="0.25">
      <c r="P306" s="1"/>
      <c r="Q306" s="1"/>
      <c r="R306" s="1"/>
      <c r="S306" s="1"/>
      <c r="T306" s="1"/>
      <c r="U306" s="1"/>
      <c r="V306" s="1"/>
      <c r="W306" s="1"/>
      <c r="X306" s="1"/>
      <c r="Y306" s="1"/>
      <c r="AH306" s="1"/>
      <c r="AI306" s="1"/>
      <c r="AJ306" s="1"/>
      <c r="AK306" s="1"/>
      <c r="AL306" s="1"/>
      <c r="AM306" s="1"/>
      <c r="AN306" s="1"/>
    </row>
    <row r="307" spans="16:40" ht="15.75" customHeight="1" x14ac:dyDescent="0.25">
      <c r="P307" s="1"/>
      <c r="Q307" s="1"/>
      <c r="R307" s="1"/>
      <c r="S307" s="1"/>
      <c r="T307" s="1"/>
      <c r="U307" s="1"/>
      <c r="V307" s="1"/>
      <c r="W307" s="1"/>
      <c r="X307" s="1"/>
      <c r="Y307" s="1"/>
      <c r="AH307" s="1"/>
      <c r="AI307" s="1"/>
      <c r="AJ307" s="1"/>
      <c r="AK307" s="1"/>
      <c r="AL307" s="1"/>
      <c r="AM307" s="1"/>
      <c r="AN307" s="1"/>
    </row>
    <row r="308" spans="16:40" ht="15.75" customHeight="1" x14ac:dyDescent="0.25">
      <c r="P308" s="1"/>
      <c r="Q308" s="1"/>
      <c r="R308" s="1"/>
      <c r="S308" s="1"/>
      <c r="T308" s="1"/>
      <c r="U308" s="1"/>
      <c r="V308" s="1"/>
      <c r="W308" s="1"/>
      <c r="X308" s="1"/>
      <c r="Y308" s="1"/>
      <c r="AH308" s="1"/>
      <c r="AI308" s="1"/>
      <c r="AJ308" s="1"/>
      <c r="AK308" s="1"/>
      <c r="AL308" s="1"/>
      <c r="AM308" s="1"/>
      <c r="AN308" s="1"/>
    </row>
    <row r="309" spans="16:40" ht="15.75" customHeight="1" x14ac:dyDescent="0.25">
      <c r="P309" s="1"/>
      <c r="Q309" s="1"/>
      <c r="R309" s="1"/>
      <c r="S309" s="1"/>
      <c r="T309" s="1"/>
      <c r="U309" s="1"/>
      <c r="V309" s="1"/>
      <c r="W309" s="1"/>
      <c r="X309" s="1"/>
      <c r="Y309" s="1"/>
      <c r="AH309" s="1"/>
      <c r="AI309" s="1"/>
      <c r="AJ309" s="1"/>
      <c r="AK309" s="1"/>
      <c r="AL309" s="1"/>
      <c r="AM309" s="1"/>
      <c r="AN309" s="1"/>
    </row>
    <row r="310" spans="16:40" ht="15.75" customHeight="1" x14ac:dyDescent="0.25">
      <c r="P310" s="1"/>
      <c r="Q310" s="1"/>
      <c r="R310" s="1"/>
      <c r="S310" s="1"/>
      <c r="T310" s="1"/>
      <c r="U310" s="1"/>
      <c r="V310" s="1"/>
      <c r="W310" s="1"/>
      <c r="X310" s="1"/>
      <c r="Y310" s="1"/>
      <c r="AH310" s="1"/>
      <c r="AI310" s="1"/>
      <c r="AJ310" s="1"/>
      <c r="AK310" s="1"/>
      <c r="AL310" s="1"/>
      <c r="AM310" s="1"/>
      <c r="AN310" s="1"/>
    </row>
    <row r="311" spans="16:40" ht="15.75" customHeight="1" x14ac:dyDescent="0.25">
      <c r="P311" s="1"/>
      <c r="Q311" s="1"/>
      <c r="R311" s="1"/>
      <c r="S311" s="1"/>
      <c r="T311" s="1"/>
      <c r="U311" s="1"/>
      <c r="V311" s="1"/>
      <c r="W311" s="1"/>
      <c r="X311" s="1"/>
      <c r="Y311" s="1"/>
      <c r="AH311" s="1"/>
      <c r="AI311" s="1"/>
      <c r="AJ311" s="1"/>
      <c r="AK311" s="1"/>
      <c r="AL311" s="1"/>
      <c r="AM311" s="1"/>
      <c r="AN311" s="1"/>
    </row>
    <row r="312" spans="16:40" ht="15.75" customHeight="1" x14ac:dyDescent="0.25">
      <c r="P312" s="1"/>
      <c r="Q312" s="1"/>
      <c r="R312" s="1"/>
      <c r="S312" s="1"/>
      <c r="T312" s="1"/>
      <c r="U312" s="1"/>
      <c r="V312" s="1"/>
      <c r="W312" s="1"/>
      <c r="X312" s="1"/>
      <c r="Y312" s="1"/>
      <c r="AH312" s="1"/>
      <c r="AI312" s="1"/>
      <c r="AJ312" s="1"/>
      <c r="AK312" s="1"/>
      <c r="AL312" s="1"/>
      <c r="AM312" s="1"/>
      <c r="AN312" s="1"/>
    </row>
    <row r="313" spans="16:40" ht="15.75" customHeight="1" x14ac:dyDescent="0.25">
      <c r="P313" s="1"/>
      <c r="Q313" s="1"/>
      <c r="R313" s="1"/>
      <c r="S313" s="1"/>
      <c r="T313" s="1"/>
      <c r="U313" s="1"/>
      <c r="V313" s="1"/>
      <c r="W313" s="1"/>
      <c r="X313" s="1"/>
      <c r="Y313" s="1"/>
      <c r="AH313" s="1"/>
      <c r="AI313" s="1"/>
      <c r="AJ313" s="1"/>
      <c r="AK313" s="1"/>
      <c r="AL313" s="1"/>
      <c r="AM313" s="1"/>
      <c r="AN313" s="1"/>
    </row>
    <row r="314" spans="16:40" ht="15.75" customHeight="1" x14ac:dyDescent="0.25">
      <c r="P314" s="1"/>
      <c r="Q314" s="1"/>
      <c r="R314" s="1"/>
      <c r="S314" s="1"/>
      <c r="T314" s="1"/>
      <c r="U314" s="1"/>
      <c r="V314" s="1"/>
      <c r="W314" s="1"/>
      <c r="X314" s="1"/>
      <c r="Y314" s="1"/>
      <c r="AH314" s="1"/>
      <c r="AI314" s="1"/>
      <c r="AJ314" s="1"/>
      <c r="AK314" s="1"/>
      <c r="AL314" s="1"/>
      <c r="AM314" s="1"/>
      <c r="AN314" s="1"/>
    </row>
    <row r="315" spans="16:40" ht="15.75" customHeight="1" x14ac:dyDescent="0.25">
      <c r="P315" s="1"/>
      <c r="Q315" s="1"/>
      <c r="R315" s="1"/>
      <c r="S315" s="1"/>
      <c r="T315" s="1"/>
      <c r="U315" s="1"/>
      <c r="V315" s="1"/>
      <c r="W315" s="1"/>
      <c r="X315" s="1"/>
      <c r="Y315" s="1"/>
      <c r="AH315" s="1"/>
      <c r="AI315" s="1"/>
      <c r="AJ315" s="1"/>
      <c r="AK315" s="1"/>
      <c r="AL315" s="1"/>
      <c r="AM315" s="1"/>
      <c r="AN315" s="1"/>
    </row>
    <row r="316" spans="16:40" ht="15.75" customHeight="1" x14ac:dyDescent="0.25">
      <c r="P316" s="1"/>
      <c r="Q316" s="1"/>
      <c r="R316" s="1"/>
      <c r="S316" s="1"/>
      <c r="T316" s="1"/>
      <c r="U316" s="1"/>
      <c r="V316" s="1"/>
      <c r="W316" s="1"/>
      <c r="X316" s="1"/>
      <c r="Y316" s="1"/>
      <c r="AH316" s="1"/>
      <c r="AI316" s="1"/>
      <c r="AJ316" s="1"/>
      <c r="AK316" s="1"/>
      <c r="AL316" s="1"/>
      <c r="AM316" s="1"/>
      <c r="AN316" s="1"/>
    </row>
    <row r="317" spans="16:40" ht="15.75" customHeight="1" x14ac:dyDescent="0.25">
      <c r="P317" s="1"/>
      <c r="Q317" s="1"/>
      <c r="R317" s="1"/>
      <c r="S317" s="1"/>
      <c r="T317" s="1"/>
      <c r="U317" s="1"/>
      <c r="V317" s="1"/>
      <c r="W317" s="1"/>
      <c r="X317" s="1"/>
      <c r="Y317" s="1"/>
      <c r="AH317" s="1"/>
      <c r="AI317" s="1"/>
      <c r="AJ317" s="1"/>
      <c r="AK317" s="1"/>
      <c r="AL317" s="1"/>
      <c r="AM317" s="1"/>
      <c r="AN317" s="1"/>
    </row>
    <row r="318" spans="16:40" ht="15.75" customHeight="1" x14ac:dyDescent="0.25">
      <c r="P318" s="1"/>
      <c r="Q318" s="1"/>
      <c r="R318" s="1"/>
      <c r="S318" s="1"/>
      <c r="T318" s="1"/>
      <c r="U318" s="1"/>
      <c r="V318" s="1"/>
      <c r="W318" s="1"/>
      <c r="X318" s="1"/>
      <c r="Y318" s="1"/>
      <c r="AH318" s="1"/>
      <c r="AI318" s="1"/>
      <c r="AJ318" s="1"/>
      <c r="AK318" s="1"/>
      <c r="AL318" s="1"/>
      <c r="AM318" s="1"/>
      <c r="AN318" s="1"/>
    </row>
    <row r="319" spans="16:40" ht="15.75" customHeight="1" x14ac:dyDescent="0.25">
      <c r="P319" s="1"/>
      <c r="Q319" s="1"/>
      <c r="R319" s="1"/>
      <c r="S319" s="1"/>
      <c r="T319" s="1"/>
      <c r="U319" s="1"/>
      <c r="V319" s="1"/>
      <c r="W319" s="1"/>
      <c r="X319" s="1"/>
      <c r="Y319" s="1"/>
      <c r="AH319" s="1"/>
      <c r="AI319" s="1"/>
      <c r="AJ319" s="1"/>
      <c r="AK319" s="1"/>
      <c r="AL319" s="1"/>
      <c r="AM319" s="1"/>
      <c r="AN319" s="1"/>
    </row>
    <row r="320" spans="16:40" ht="15.75" customHeight="1" x14ac:dyDescent="0.25">
      <c r="P320" s="1"/>
      <c r="Q320" s="1"/>
      <c r="R320" s="1"/>
      <c r="S320" s="1"/>
      <c r="T320" s="1"/>
      <c r="U320" s="1"/>
      <c r="V320" s="1"/>
      <c r="W320" s="1"/>
      <c r="X320" s="1"/>
      <c r="Y320" s="1"/>
      <c r="AH320" s="1"/>
      <c r="AI320" s="1"/>
      <c r="AJ320" s="1"/>
      <c r="AK320" s="1"/>
      <c r="AL320" s="1"/>
      <c r="AM320" s="1"/>
      <c r="AN320" s="1"/>
    </row>
    <row r="321" spans="16:40" ht="15.75" customHeight="1" x14ac:dyDescent="0.25">
      <c r="P321" s="1"/>
      <c r="Q321" s="1"/>
      <c r="R321" s="1"/>
      <c r="S321" s="1"/>
      <c r="T321" s="1"/>
      <c r="U321" s="1"/>
      <c r="V321" s="1"/>
      <c r="W321" s="1"/>
      <c r="X321" s="1"/>
      <c r="Y321" s="1"/>
      <c r="AH321" s="1"/>
      <c r="AI321" s="1"/>
      <c r="AJ321" s="1"/>
      <c r="AK321" s="1"/>
      <c r="AL321" s="1"/>
      <c r="AM321" s="1"/>
      <c r="AN321" s="1"/>
    </row>
    <row r="322" spans="16:40" ht="15.75" customHeight="1" x14ac:dyDescent="0.25">
      <c r="P322" s="1"/>
      <c r="Q322" s="1"/>
      <c r="R322" s="1"/>
      <c r="S322" s="1"/>
      <c r="T322" s="1"/>
      <c r="U322" s="1"/>
      <c r="V322" s="1"/>
      <c r="W322" s="1"/>
      <c r="X322" s="1"/>
      <c r="Y322" s="1"/>
      <c r="AH322" s="1"/>
      <c r="AI322" s="1"/>
      <c r="AJ322" s="1"/>
      <c r="AK322" s="1"/>
      <c r="AL322" s="1"/>
      <c r="AM322" s="1"/>
      <c r="AN322" s="1"/>
    </row>
    <row r="323" spans="16:40" ht="15.75" customHeight="1" x14ac:dyDescent="0.25">
      <c r="P323" s="1"/>
      <c r="Q323" s="1"/>
      <c r="R323" s="1"/>
      <c r="S323" s="1"/>
      <c r="T323" s="1"/>
      <c r="U323" s="1"/>
      <c r="V323" s="1"/>
      <c r="W323" s="1"/>
      <c r="X323" s="1"/>
      <c r="Y323" s="1"/>
      <c r="AH323" s="1"/>
      <c r="AI323" s="1"/>
      <c r="AJ323" s="1"/>
      <c r="AK323" s="1"/>
      <c r="AL323" s="1"/>
      <c r="AM323" s="1"/>
      <c r="AN323" s="1"/>
    </row>
    <row r="324" spans="16:40" ht="15.75" customHeight="1" x14ac:dyDescent="0.25">
      <c r="P324" s="1"/>
      <c r="Q324" s="1"/>
      <c r="R324" s="1"/>
      <c r="S324" s="1"/>
      <c r="T324" s="1"/>
      <c r="U324" s="1"/>
      <c r="V324" s="1"/>
      <c r="W324" s="1"/>
      <c r="X324" s="1"/>
      <c r="Y324" s="1"/>
      <c r="AH324" s="1"/>
      <c r="AI324" s="1"/>
      <c r="AJ324" s="1"/>
      <c r="AK324" s="1"/>
      <c r="AL324" s="1"/>
      <c r="AM324" s="1"/>
      <c r="AN324" s="1"/>
    </row>
    <row r="325" spans="16:40" ht="15.75" customHeight="1" x14ac:dyDescent="0.25">
      <c r="P325" s="1"/>
      <c r="Q325" s="1"/>
      <c r="R325" s="1"/>
      <c r="S325" s="1"/>
      <c r="T325" s="1"/>
      <c r="U325" s="1"/>
      <c r="V325" s="1"/>
      <c r="W325" s="1"/>
      <c r="X325" s="1"/>
      <c r="Y325" s="1"/>
      <c r="AH325" s="1"/>
      <c r="AI325" s="1"/>
      <c r="AJ325" s="1"/>
      <c r="AK325" s="1"/>
      <c r="AL325" s="1"/>
      <c r="AM325" s="1"/>
      <c r="AN325" s="1"/>
    </row>
    <row r="326" spans="16:40" ht="15.75" customHeight="1" x14ac:dyDescent="0.25">
      <c r="P326" s="1"/>
      <c r="Q326" s="1"/>
      <c r="R326" s="1"/>
      <c r="S326" s="1"/>
      <c r="T326" s="1"/>
      <c r="U326" s="1"/>
      <c r="V326" s="1"/>
      <c r="W326" s="1"/>
      <c r="X326" s="1"/>
      <c r="Y326" s="1"/>
      <c r="AH326" s="1"/>
      <c r="AI326" s="1"/>
      <c r="AJ326" s="1"/>
      <c r="AK326" s="1"/>
      <c r="AL326" s="1"/>
      <c r="AM326" s="1"/>
      <c r="AN326" s="1"/>
    </row>
    <row r="327" spans="16:40" ht="15.75" customHeight="1" x14ac:dyDescent="0.25">
      <c r="P327" s="1"/>
      <c r="Q327" s="1"/>
      <c r="R327" s="1"/>
      <c r="S327" s="1"/>
      <c r="T327" s="1"/>
      <c r="U327" s="1"/>
      <c r="V327" s="1"/>
      <c r="W327" s="1"/>
      <c r="X327" s="1"/>
      <c r="Y327" s="1"/>
      <c r="AH327" s="1"/>
      <c r="AI327" s="1"/>
      <c r="AJ327" s="1"/>
      <c r="AK327" s="1"/>
      <c r="AL327" s="1"/>
      <c r="AM327" s="1"/>
      <c r="AN327" s="1"/>
    </row>
    <row r="328" spans="16:40" ht="15.75" customHeight="1" x14ac:dyDescent="0.25">
      <c r="P328" s="1"/>
      <c r="Q328" s="1"/>
      <c r="R328" s="1"/>
      <c r="S328" s="1"/>
      <c r="T328" s="1"/>
      <c r="U328" s="1"/>
      <c r="V328" s="1"/>
      <c r="W328" s="1"/>
      <c r="X328" s="1"/>
      <c r="Y328" s="1"/>
      <c r="AH328" s="1"/>
      <c r="AI328" s="1"/>
      <c r="AJ328" s="1"/>
      <c r="AK328" s="1"/>
      <c r="AL328" s="1"/>
      <c r="AM328" s="1"/>
      <c r="AN328" s="1"/>
    </row>
    <row r="329" spans="16:40" ht="15.75" customHeight="1" x14ac:dyDescent="0.25">
      <c r="P329" s="1"/>
      <c r="Q329" s="1"/>
      <c r="R329" s="1"/>
      <c r="S329" s="1"/>
      <c r="T329" s="1"/>
      <c r="U329" s="1"/>
      <c r="V329" s="1"/>
      <c r="W329" s="1"/>
      <c r="X329" s="1"/>
      <c r="Y329" s="1"/>
      <c r="AH329" s="1"/>
      <c r="AI329" s="1"/>
      <c r="AJ329" s="1"/>
      <c r="AK329" s="1"/>
      <c r="AL329" s="1"/>
      <c r="AM329" s="1"/>
      <c r="AN329" s="1"/>
    </row>
    <row r="330" spans="16:40" ht="15.75" customHeight="1" x14ac:dyDescent="0.25">
      <c r="P330" s="1"/>
      <c r="Q330" s="1"/>
      <c r="R330" s="1"/>
      <c r="S330" s="1"/>
      <c r="T330" s="1"/>
      <c r="U330" s="1"/>
      <c r="V330" s="1"/>
      <c r="W330" s="1"/>
      <c r="X330" s="1"/>
      <c r="Y330" s="1"/>
      <c r="AH330" s="1"/>
      <c r="AI330" s="1"/>
      <c r="AJ330" s="1"/>
      <c r="AK330" s="1"/>
      <c r="AL330" s="1"/>
      <c r="AM330" s="1"/>
      <c r="AN330" s="1"/>
    </row>
    <row r="331" spans="16:40" ht="15.75" customHeight="1" x14ac:dyDescent="0.25">
      <c r="P331" s="1"/>
      <c r="Q331" s="1"/>
      <c r="R331" s="1"/>
      <c r="S331" s="1"/>
      <c r="T331" s="1"/>
      <c r="U331" s="1"/>
      <c r="V331" s="1"/>
      <c r="W331" s="1"/>
      <c r="X331" s="1"/>
      <c r="Y331" s="1"/>
      <c r="AH331" s="1"/>
      <c r="AI331" s="1"/>
      <c r="AJ331" s="1"/>
      <c r="AK331" s="1"/>
      <c r="AL331" s="1"/>
      <c r="AM331" s="1"/>
      <c r="AN331" s="1"/>
    </row>
    <row r="332" spans="16:40" ht="15.75" customHeight="1" x14ac:dyDescent="0.25">
      <c r="P332" s="1"/>
      <c r="Q332" s="1"/>
      <c r="R332" s="1"/>
      <c r="S332" s="1"/>
      <c r="T332" s="1"/>
      <c r="U332" s="1"/>
      <c r="V332" s="1"/>
      <c r="W332" s="1"/>
      <c r="X332" s="1"/>
      <c r="Y332" s="1"/>
      <c r="AH332" s="1"/>
      <c r="AI332" s="1"/>
      <c r="AJ332" s="1"/>
      <c r="AK332" s="1"/>
      <c r="AL332" s="1"/>
      <c r="AM332" s="1"/>
      <c r="AN332" s="1"/>
    </row>
    <row r="333" spans="16:40" ht="15.75" customHeight="1" x14ac:dyDescent="0.25">
      <c r="P333" s="1"/>
      <c r="Q333" s="1"/>
      <c r="R333" s="1"/>
      <c r="S333" s="1"/>
      <c r="T333" s="1"/>
      <c r="U333" s="1"/>
      <c r="V333" s="1"/>
      <c r="W333" s="1"/>
      <c r="X333" s="1"/>
      <c r="Y333" s="1"/>
      <c r="AH333" s="1"/>
      <c r="AI333" s="1"/>
      <c r="AJ333" s="1"/>
      <c r="AK333" s="1"/>
      <c r="AL333" s="1"/>
      <c r="AM333" s="1"/>
      <c r="AN333" s="1"/>
    </row>
    <row r="334" spans="16:40" ht="15.75" customHeight="1" x14ac:dyDescent="0.25">
      <c r="P334" s="1"/>
      <c r="Q334" s="1"/>
      <c r="R334" s="1"/>
      <c r="S334" s="1"/>
      <c r="T334" s="1"/>
      <c r="U334" s="1"/>
      <c r="V334" s="1"/>
      <c r="W334" s="1"/>
      <c r="X334" s="1"/>
      <c r="Y334" s="1"/>
      <c r="AH334" s="1"/>
      <c r="AI334" s="1"/>
      <c r="AJ334" s="1"/>
      <c r="AK334" s="1"/>
      <c r="AL334" s="1"/>
      <c r="AM334" s="1"/>
      <c r="AN334" s="1"/>
    </row>
    <row r="335" spans="16:40" ht="15.75" customHeight="1" x14ac:dyDescent="0.25">
      <c r="P335" s="1"/>
      <c r="Q335" s="1"/>
      <c r="R335" s="1"/>
      <c r="S335" s="1"/>
      <c r="T335" s="1"/>
      <c r="U335" s="1"/>
      <c r="V335" s="1"/>
      <c r="W335" s="1"/>
      <c r="X335" s="1"/>
      <c r="Y335" s="1"/>
      <c r="AH335" s="1"/>
      <c r="AI335" s="1"/>
      <c r="AJ335" s="1"/>
      <c r="AK335" s="1"/>
      <c r="AL335" s="1"/>
      <c r="AM335" s="1"/>
      <c r="AN335" s="1"/>
    </row>
    <row r="336" spans="16:40" ht="15.75" customHeight="1" x14ac:dyDescent="0.25">
      <c r="P336" s="1"/>
      <c r="Q336" s="1"/>
      <c r="R336" s="1"/>
      <c r="S336" s="1"/>
      <c r="T336" s="1"/>
      <c r="U336" s="1"/>
      <c r="V336" s="1"/>
      <c r="W336" s="1"/>
      <c r="X336" s="1"/>
      <c r="Y336" s="1"/>
      <c r="AH336" s="1"/>
      <c r="AI336" s="1"/>
      <c r="AJ336" s="1"/>
      <c r="AK336" s="1"/>
      <c r="AL336" s="1"/>
      <c r="AM336" s="1"/>
      <c r="AN336" s="1"/>
    </row>
    <row r="337" spans="16:40" ht="15.75" customHeight="1" x14ac:dyDescent="0.25">
      <c r="P337" s="1"/>
      <c r="Q337" s="1"/>
      <c r="R337" s="1"/>
      <c r="S337" s="1"/>
      <c r="T337" s="1"/>
      <c r="U337" s="1"/>
      <c r="V337" s="1"/>
      <c r="W337" s="1"/>
      <c r="X337" s="1"/>
      <c r="Y337" s="1"/>
      <c r="AH337" s="1"/>
      <c r="AI337" s="1"/>
      <c r="AJ337" s="1"/>
      <c r="AK337" s="1"/>
      <c r="AL337" s="1"/>
      <c r="AM337" s="1"/>
      <c r="AN337" s="1"/>
    </row>
    <row r="338" spans="16:40" ht="15.75" customHeight="1" x14ac:dyDescent="0.25">
      <c r="P338" s="1"/>
      <c r="Q338" s="1"/>
      <c r="R338" s="1"/>
      <c r="S338" s="1"/>
      <c r="T338" s="1"/>
      <c r="U338" s="1"/>
      <c r="V338" s="1"/>
      <c r="W338" s="1"/>
      <c r="X338" s="1"/>
      <c r="Y338" s="1"/>
      <c r="AH338" s="1"/>
      <c r="AI338" s="1"/>
      <c r="AJ338" s="1"/>
      <c r="AK338" s="1"/>
      <c r="AL338" s="1"/>
      <c r="AM338" s="1"/>
      <c r="AN338" s="1"/>
    </row>
    <row r="339" spans="16:40" ht="15.75" customHeight="1" x14ac:dyDescent="0.25">
      <c r="P339" s="1"/>
      <c r="Q339" s="1"/>
      <c r="R339" s="1"/>
      <c r="S339" s="1"/>
      <c r="T339" s="1"/>
      <c r="U339" s="1"/>
      <c r="V339" s="1"/>
      <c r="W339" s="1"/>
      <c r="X339" s="1"/>
      <c r="Y339" s="1"/>
      <c r="AH339" s="1"/>
      <c r="AI339" s="1"/>
      <c r="AJ339" s="1"/>
      <c r="AK339" s="1"/>
      <c r="AL339" s="1"/>
      <c r="AM339" s="1"/>
      <c r="AN339" s="1"/>
    </row>
    <row r="340" spans="16:40" ht="15.75" customHeight="1" x14ac:dyDescent="0.25">
      <c r="P340" s="1"/>
      <c r="Q340" s="1"/>
      <c r="R340" s="1"/>
      <c r="S340" s="1"/>
      <c r="T340" s="1"/>
      <c r="U340" s="1"/>
      <c r="V340" s="1"/>
      <c r="W340" s="1"/>
      <c r="X340" s="1"/>
      <c r="Y340" s="1"/>
      <c r="AH340" s="1"/>
      <c r="AI340" s="1"/>
      <c r="AJ340" s="1"/>
      <c r="AK340" s="1"/>
      <c r="AL340" s="1"/>
      <c r="AM340" s="1"/>
      <c r="AN340" s="1"/>
    </row>
    <row r="341" spans="16:40" ht="15.75" customHeight="1" x14ac:dyDescent="0.25">
      <c r="P341" s="1"/>
      <c r="Q341" s="1"/>
      <c r="R341" s="1"/>
      <c r="S341" s="1"/>
      <c r="T341" s="1"/>
      <c r="U341" s="1"/>
      <c r="V341" s="1"/>
      <c r="W341" s="1"/>
      <c r="X341" s="1"/>
      <c r="Y341" s="1"/>
      <c r="AH341" s="1"/>
      <c r="AI341" s="1"/>
      <c r="AJ341" s="1"/>
      <c r="AK341" s="1"/>
      <c r="AL341" s="1"/>
      <c r="AM341" s="1"/>
      <c r="AN341" s="1"/>
    </row>
    <row r="342" spans="16:40" ht="15.75" customHeight="1" x14ac:dyDescent="0.25">
      <c r="P342" s="1"/>
      <c r="Q342" s="1"/>
      <c r="R342" s="1"/>
      <c r="S342" s="1"/>
      <c r="T342" s="1"/>
      <c r="U342" s="1"/>
      <c r="V342" s="1"/>
      <c r="W342" s="1"/>
      <c r="X342" s="1"/>
      <c r="Y342" s="1"/>
      <c r="AH342" s="1"/>
      <c r="AI342" s="1"/>
      <c r="AJ342" s="1"/>
      <c r="AK342" s="1"/>
      <c r="AL342" s="1"/>
      <c r="AM342" s="1"/>
      <c r="AN342" s="1"/>
    </row>
    <row r="343" spans="16:40" ht="15.75" customHeight="1" x14ac:dyDescent="0.25">
      <c r="P343" s="1"/>
      <c r="Q343" s="1"/>
      <c r="R343" s="1"/>
      <c r="S343" s="1"/>
      <c r="T343" s="1"/>
      <c r="U343" s="1"/>
      <c r="V343" s="1"/>
      <c r="W343" s="1"/>
      <c r="X343" s="1"/>
      <c r="Y343" s="1"/>
      <c r="AH343" s="1"/>
      <c r="AI343" s="1"/>
      <c r="AJ343" s="1"/>
      <c r="AK343" s="1"/>
      <c r="AL343" s="1"/>
      <c r="AM343" s="1"/>
      <c r="AN343" s="1"/>
    </row>
    <row r="344" spans="16:40" ht="15.75" customHeight="1" x14ac:dyDescent="0.25">
      <c r="P344" s="1"/>
      <c r="Q344" s="1"/>
      <c r="R344" s="1"/>
      <c r="S344" s="1"/>
      <c r="T344" s="1"/>
      <c r="U344" s="1"/>
      <c r="V344" s="1"/>
      <c r="W344" s="1"/>
      <c r="X344" s="1"/>
      <c r="Y344" s="1"/>
      <c r="AH344" s="1"/>
      <c r="AI344" s="1"/>
      <c r="AJ344" s="1"/>
      <c r="AK344" s="1"/>
      <c r="AL344" s="1"/>
      <c r="AM344" s="1"/>
      <c r="AN344" s="1"/>
    </row>
    <row r="345" spans="16:40" ht="15.75" customHeight="1" x14ac:dyDescent="0.25">
      <c r="P345" s="1"/>
      <c r="Q345" s="1"/>
      <c r="R345" s="1"/>
      <c r="S345" s="1"/>
      <c r="T345" s="1"/>
      <c r="U345" s="1"/>
      <c r="V345" s="1"/>
      <c r="W345" s="1"/>
      <c r="X345" s="1"/>
      <c r="Y345" s="1"/>
      <c r="AH345" s="1"/>
      <c r="AI345" s="1"/>
      <c r="AJ345" s="1"/>
      <c r="AK345" s="1"/>
      <c r="AL345" s="1"/>
      <c r="AM345" s="1"/>
      <c r="AN345" s="1"/>
    </row>
    <row r="346" spans="16:40" ht="15.75" customHeight="1" x14ac:dyDescent="0.25">
      <c r="P346" s="1"/>
      <c r="Q346" s="1"/>
      <c r="R346" s="1"/>
      <c r="S346" s="1"/>
      <c r="T346" s="1"/>
      <c r="U346" s="1"/>
      <c r="V346" s="1"/>
      <c r="W346" s="1"/>
      <c r="X346" s="1"/>
      <c r="Y346" s="1"/>
      <c r="AH346" s="1"/>
      <c r="AI346" s="1"/>
      <c r="AJ346" s="1"/>
      <c r="AK346" s="1"/>
      <c r="AL346" s="1"/>
      <c r="AM346" s="1"/>
      <c r="AN346" s="1"/>
    </row>
    <row r="347" spans="16:40" ht="15.75" customHeight="1" x14ac:dyDescent="0.25">
      <c r="P347" s="1"/>
      <c r="Q347" s="1"/>
      <c r="R347" s="1"/>
      <c r="S347" s="1"/>
      <c r="T347" s="1"/>
      <c r="U347" s="1"/>
      <c r="V347" s="1"/>
      <c r="W347" s="1"/>
      <c r="X347" s="1"/>
      <c r="Y347" s="1"/>
      <c r="AH347" s="1"/>
      <c r="AI347" s="1"/>
      <c r="AJ347" s="1"/>
      <c r="AK347" s="1"/>
      <c r="AL347" s="1"/>
      <c r="AM347" s="1"/>
      <c r="AN347" s="1"/>
    </row>
    <row r="348" spans="16:40" ht="15.75" customHeight="1" x14ac:dyDescent="0.25">
      <c r="P348" s="1"/>
      <c r="Q348" s="1"/>
      <c r="R348" s="1"/>
      <c r="S348" s="1"/>
      <c r="T348" s="1"/>
      <c r="U348" s="1"/>
      <c r="V348" s="1"/>
      <c r="W348" s="1"/>
      <c r="X348" s="1"/>
      <c r="Y348" s="1"/>
      <c r="AH348" s="1"/>
      <c r="AI348" s="1"/>
      <c r="AJ348" s="1"/>
      <c r="AK348" s="1"/>
      <c r="AL348" s="1"/>
      <c r="AM348" s="1"/>
      <c r="AN348" s="1"/>
    </row>
    <row r="349" spans="16:40" ht="15.75" customHeight="1" x14ac:dyDescent="0.25">
      <c r="P349" s="1"/>
      <c r="Q349" s="1"/>
      <c r="R349" s="1"/>
      <c r="S349" s="1"/>
      <c r="T349" s="1"/>
      <c r="U349" s="1"/>
      <c r="V349" s="1"/>
      <c r="W349" s="1"/>
      <c r="X349" s="1"/>
      <c r="Y349" s="1"/>
      <c r="AH349" s="1"/>
      <c r="AI349" s="1"/>
      <c r="AJ349" s="1"/>
      <c r="AK349" s="1"/>
      <c r="AL349" s="1"/>
      <c r="AM349" s="1"/>
      <c r="AN349" s="1"/>
    </row>
    <row r="350" spans="16:40" ht="15.75" customHeight="1" x14ac:dyDescent="0.25">
      <c r="P350" s="1"/>
      <c r="Q350" s="1"/>
      <c r="R350" s="1"/>
      <c r="S350" s="1"/>
      <c r="T350" s="1"/>
      <c r="U350" s="1"/>
      <c r="V350" s="1"/>
      <c r="W350" s="1"/>
      <c r="X350" s="1"/>
      <c r="Y350" s="1"/>
      <c r="AH350" s="1"/>
      <c r="AI350" s="1"/>
      <c r="AJ350" s="1"/>
      <c r="AK350" s="1"/>
      <c r="AL350" s="1"/>
      <c r="AM350" s="1"/>
      <c r="AN350" s="1"/>
    </row>
    <row r="351" spans="16:40" ht="15.75" customHeight="1" x14ac:dyDescent="0.25">
      <c r="P351" s="1"/>
      <c r="Q351" s="1"/>
      <c r="R351" s="1"/>
      <c r="S351" s="1"/>
      <c r="T351" s="1"/>
      <c r="U351" s="1"/>
      <c r="V351" s="1"/>
      <c r="W351" s="1"/>
      <c r="X351" s="1"/>
      <c r="Y351" s="1"/>
      <c r="AH351" s="1"/>
      <c r="AI351" s="1"/>
      <c r="AJ351" s="1"/>
      <c r="AK351" s="1"/>
      <c r="AL351" s="1"/>
      <c r="AM351" s="1"/>
      <c r="AN351" s="1"/>
    </row>
    <row r="352" spans="16:40" ht="15.75" customHeight="1" x14ac:dyDescent="0.25">
      <c r="P352" s="1"/>
      <c r="Q352" s="1"/>
      <c r="R352" s="1"/>
      <c r="S352" s="1"/>
      <c r="T352" s="1"/>
      <c r="U352" s="1"/>
      <c r="V352" s="1"/>
      <c r="W352" s="1"/>
      <c r="X352" s="1"/>
      <c r="Y352" s="1"/>
      <c r="AH352" s="1"/>
      <c r="AI352" s="1"/>
      <c r="AJ352" s="1"/>
      <c r="AK352" s="1"/>
      <c r="AL352" s="1"/>
      <c r="AM352" s="1"/>
      <c r="AN352" s="1"/>
    </row>
    <row r="353" spans="16:40" ht="15.75" customHeight="1" x14ac:dyDescent="0.25">
      <c r="P353" s="1"/>
      <c r="Q353" s="1"/>
      <c r="R353" s="1"/>
      <c r="S353" s="1"/>
      <c r="T353" s="1"/>
      <c r="U353" s="1"/>
      <c r="V353" s="1"/>
      <c r="W353" s="1"/>
      <c r="X353" s="1"/>
      <c r="Y353" s="1"/>
      <c r="AH353" s="1"/>
      <c r="AI353" s="1"/>
      <c r="AJ353" s="1"/>
      <c r="AK353" s="1"/>
      <c r="AL353" s="1"/>
      <c r="AM353" s="1"/>
      <c r="AN353" s="1"/>
    </row>
    <row r="354" spans="16:40" ht="15.75" customHeight="1" x14ac:dyDescent="0.25">
      <c r="P354" s="1"/>
      <c r="Q354" s="1"/>
      <c r="R354" s="1"/>
      <c r="S354" s="1"/>
      <c r="T354" s="1"/>
      <c r="U354" s="1"/>
      <c r="V354" s="1"/>
      <c r="W354" s="1"/>
      <c r="X354" s="1"/>
      <c r="Y354" s="1"/>
      <c r="AH354" s="1"/>
      <c r="AI354" s="1"/>
      <c r="AJ354" s="1"/>
      <c r="AK354" s="1"/>
      <c r="AL354" s="1"/>
      <c r="AM354" s="1"/>
      <c r="AN354" s="1"/>
    </row>
    <row r="355" spans="16:40" ht="15.75" customHeight="1" x14ac:dyDescent="0.25">
      <c r="P355" s="1"/>
      <c r="Q355" s="1"/>
      <c r="R355" s="1"/>
      <c r="S355" s="1"/>
      <c r="T355" s="1"/>
      <c r="U355" s="1"/>
      <c r="V355" s="1"/>
      <c r="W355" s="1"/>
      <c r="X355" s="1"/>
      <c r="Y355" s="1"/>
      <c r="AH355" s="1"/>
      <c r="AI355" s="1"/>
      <c r="AJ355" s="1"/>
      <c r="AK355" s="1"/>
      <c r="AL355" s="1"/>
      <c r="AM355" s="1"/>
      <c r="AN355" s="1"/>
    </row>
    <row r="356" spans="16:40" ht="15.75" customHeight="1" x14ac:dyDescent="0.25">
      <c r="P356" s="1"/>
      <c r="Q356" s="1"/>
      <c r="R356" s="1"/>
      <c r="S356" s="1"/>
      <c r="T356" s="1"/>
      <c r="U356" s="1"/>
      <c r="V356" s="1"/>
      <c r="W356" s="1"/>
      <c r="X356" s="1"/>
      <c r="Y356" s="1"/>
      <c r="AH356" s="1"/>
      <c r="AI356" s="1"/>
      <c r="AJ356" s="1"/>
      <c r="AK356" s="1"/>
      <c r="AL356" s="1"/>
      <c r="AM356" s="1"/>
      <c r="AN356" s="1"/>
    </row>
    <row r="357" spans="16:40" ht="15.75" customHeight="1" x14ac:dyDescent="0.25">
      <c r="P357" s="1"/>
      <c r="Q357" s="1"/>
      <c r="R357" s="1"/>
      <c r="S357" s="1"/>
      <c r="T357" s="1"/>
      <c r="U357" s="1"/>
      <c r="V357" s="1"/>
      <c r="W357" s="1"/>
      <c r="X357" s="1"/>
      <c r="Y357" s="1"/>
      <c r="AH357" s="1"/>
      <c r="AI357" s="1"/>
      <c r="AJ357" s="1"/>
      <c r="AK357" s="1"/>
      <c r="AL357" s="1"/>
      <c r="AM357" s="1"/>
      <c r="AN357" s="1"/>
    </row>
    <row r="358" spans="16:40" ht="15.75" customHeight="1" x14ac:dyDescent="0.25">
      <c r="P358" s="1"/>
      <c r="Q358" s="1"/>
      <c r="R358" s="1"/>
      <c r="S358" s="1"/>
      <c r="T358" s="1"/>
      <c r="U358" s="1"/>
      <c r="V358" s="1"/>
      <c r="W358" s="1"/>
      <c r="X358" s="1"/>
      <c r="Y358" s="1"/>
      <c r="AH358" s="1"/>
      <c r="AI358" s="1"/>
      <c r="AJ358" s="1"/>
      <c r="AK358" s="1"/>
      <c r="AL358" s="1"/>
      <c r="AM358" s="1"/>
      <c r="AN358" s="1"/>
    </row>
    <row r="359" spans="16:40" ht="15.75" customHeight="1" x14ac:dyDescent="0.25">
      <c r="P359" s="1"/>
      <c r="Q359" s="1"/>
      <c r="R359" s="1"/>
      <c r="S359" s="1"/>
      <c r="T359" s="1"/>
      <c r="U359" s="1"/>
      <c r="V359" s="1"/>
      <c r="W359" s="1"/>
      <c r="X359" s="1"/>
      <c r="Y359" s="1"/>
      <c r="AH359" s="1"/>
      <c r="AI359" s="1"/>
      <c r="AJ359" s="1"/>
      <c r="AK359" s="1"/>
      <c r="AL359" s="1"/>
      <c r="AM359" s="1"/>
      <c r="AN359" s="1"/>
    </row>
    <row r="360" spans="16:40" ht="15.75" customHeight="1" x14ac:dyDescent="0.25">
      <c r="P360" s="1"/>
      <c r="Q360" s="1"/>
      <c r="R360" s="1"/>
      <c r="S360" s="1"/>
      <c r="T360" s="1"/>
      <c r="U360" s="1"/>
      <c r="V360" s="1"/>
      <c r="W360" s="1"/>
      <c r="X360" s="1"/>
      <c r="Y360" s="1"/>
      <c r="AH360" s="1"/>
      <c r="AI360" s="1"/>
      <c r="AJ360" s="1"/>
      <c r="AK360" s="1"/>
      <c r="AL360" s="1"/>
      <c r="AM360" s="1"/>
      <c r="AN360" s="1"/>
    </row>
    <row r="361" spans="16:40" ht="15.75" customHeight="1" x14ac:dyDescent="0.25">
      <c r="P361" s="1"/>
      <c r="Q361" s="1"/>
      <c r="R361" s="1"/>
      <c r="S361" s="1"/>
      <c r="T361" s="1"/>
      <c r="U361" s="1"/>
      <c r="V361" s="1"/>
      <c r="W361" s="1"/>
      <c r="X361" s="1"/>
      <c r="Y361" s="1"/>
      <c r="AH361" s="1"/>
      <c r="AI361" s="1"/>
      <c r="AJ361" s="1"/>
      <c r="AK361" s="1"/>
      <c r="AL361" s="1"/>
      <c r="AM361" s="1"/>
      <c r="AN361" s="1"/>
    </row>
    <row r="362" spans="16:40" ht="15.75" customHeight="1" x14ac:dyDescent="0.25">
      <c r="P362" s="1"/>
      <c r="Q362" s="1"/>
      <c r="R362" s="1"/>
      <c r="S362" s="1"/>
      <c r="T362" s="1"/>
      <c r="U362" s="1"/>
      <c r="V362" s="1"/>
      <c r="W362" s="1"/>
      <c r="X362" s="1"/>
      <c r="Y362" s="1"/>
      <c r="AH362" s="1"/>
      <c r="AI362" s="1"/>
      <c r="AJ362" s="1"/>
      <c r="AK362" s="1"/>
      <c r="AL362" s="1"/>
      <c r="AM362" s="1"/>
      <c r="AN362" s="1"/>
    </row>
    <row r="363" spans="16:40" ht="15.75" customHeight="1" x14ac:dyDescent="0.25">
      <c r="P363" s="1"/>
      <c r="Q363" s="1"/>
      <c r="R363" s="1"/>
      <c r="S363" s="1"/>
      <c r="T363" s="1"/>
      <c r="U363" s="1"/>
      <c r="V363" s="1"/>
      <c r="W363" s="1"/>
      <c r="X363" s="1"/>
      <c r="Y363" s="1"/>
      <c r="AH363" s="1"/>
      <c r="AI363" s="1"/>
      <c r="AJ363" s="1"/>
      <c r="AK363" s="1"/>
      <c r="AL363" s="1"/>
      <c r="AM363" s="1"/>
      <c r="AN363" s="1"/>
    </row>
    <row r="364" spans="16:40" ht="15.75" customHeight="1" x14ac:dyDescent="0.25">
      <c r="P364" s="1"/>
      <c r="Q364" s="1"/>
      <c r="R364" s="1"/>
      <c r="S364" s="1"/>
      <c r="T364" s="1"/>
      <c r="U364" s="1"/>
      <c r="V364" s="1"/>
      <c r="W364" s="1"/>
      <c r="X364" s="1"/>
      <c r="Y364" s="1"/>
      <c r="AH364" s="1"/>
      <c r="AI364" s="1"/>
      <c r="AJ364" s="1"/>
      <c r="AK364" s="1"/>
      <c r="AL364" s="1"/>
      <c r="AM364" s="1"/>
      <c r="AN364" s="1"/>
    </row>
    <row r="365" spans="16:40" ht="15.75" customHeight="1" x14ac:dyDescent="0.25">
      <c r="P365" s="1"/>
      <c r="Q365" s="1"/>
      <c r="R365" s="1"/>
      <c r="S365" s="1"/>
      <c r="T365" s="1"/>
      <c r="U365" s="1"/>
      <c r="V365" s="1"/>
      <c r="W365" s="1"/>
      <c r="X365" s="1"/>
      <c r="Y365" s="1"/>
      <c r="AH365" s="1"/>
      <c r="AI365" s="1"/>
      <c r="AJ365" s="1"/>
      <c r="AK365" s="1"/>
      <c r="AL365" s="1"/>
      <c r="AM365" s="1"/>
      <c r="AN365" s="1"/>
    </row>
    <row r="366" spans="16:40" ht="15.75" customHeight="1" x14ac:dyDescent="0.25">
      <c r="P366" s="1"/>
      <c r="Q366" s="1"/>
      <c r="R366" s="1"/>
      <c r="S366" s="1"/>
      <c r="T366" s="1"/>
      <c r="U366" s="1"/>
      <c r="V366" s="1"/>
      <c r="W366" s="1"/>
      <c r="X366" s="1"/>
      <c r="Y366" s="1"/>
      <c r="AH366" s="1"/>
      <c r="AI366" s="1"/>
      <c r="AJ366" s="1"/>
      <c r="AK366" s="1"/>
      <c r="AL366" s="1"/>
      <c r="AM366" s="1"/>
      <c r="AN366" s="1"/>
    </row>
    <row r="367" spans="16:40" ht="15.75" customHeight="1" x14ac:dyDescent="0.25">
      <c r="P367" s="1"/>
      <c r="Q367" s="1"/>
      <c r="R367" s="1"/>
      <c r="S367" s="1"/>
      <c r="T367" s="1"/>
      <c r="U367" s="1"/>
      <c r="V367" s="1"/>
      <c r="W367" s="1"/>
      <c r="X367" s="1"/>
      <c r="Y367" s="1"/>
      <c r="AH367" s="1"/>
      <c r="AI367" s="1"/>
      <c r="AJ367" s="1"/>
      <c r="AK367" s="1"/>
      <c r="AL367" s="1"/>
      <c r="AM367" s="1"/>
      <c r="AN367" s="1"/>
    </row>
    <row r="368" spans="16:40" ht="15.75" customHeight="1" x14ac:dyDescent="0.25">
      <c r="P368" s="1"/>
      <c r="Q368" s="1"/>
      <c r="R368" s="1"/>
      <c r="S368" s="1"/>
      <c r="T368" s="1"/>
      <c r="U368" s="1"/>
      <c r="V368" s="1"/>
      <c r="W368" s="1"/>
      <c r="X368" s="1"/>
      <c r="Y368" s="1"/>
      <c r="AH368" s="1"/>
      <c r="AI368" s="1"/>
      <c r="AJ368" s="1"/>
      <c r="AK368" s="1"/>
      <c r="AL368" s="1"/>
      <c r="AM368" s="1"/>
      <c r="AN368" s="1"/>
    </row>
    <row r="369" spans="16:40" ht="15.75" customHeight="1" x14ac:dyDescent="0.25">
      <c r="P369" s="1"/>
      <c r="Q369" s="1"/>
      <c r="R369" s="1"/>
      <c r="S369" s="1"/>
      <c r="T369" s="1"/>
      <c r="U369" s="1"/>
      <c r="V369" s="1"/>
      <c r="W369" s="1"/>
      <c r="X369" s="1"/>
      <c r="Y369" s="1"/>
      <c r="AH369" s="1"/>
      <c r="AI369" s="1"/>
      <c r="AJ369" s="1"/>
      <c r="AK369" s="1"/>
      <c r="AL369" s="1"/>
      <c r="AM369" s="1"/>
      <c r="AN369" s="1"/>
    </row>
    <row r="370" spans="16:40" ht="15.75" customHeight="1" x14ac:dyDescent="0.25">
      <c r="P370" s="1"/>
      <c r="Q370" s="1"/>
      <c r="R370" s="1"/>
      <c r="S370" s="1"/>
      <c r="T370" s="1"/>
      <c r="U370" s="1"/>
      <c r="V370" s="1"/>
      <c r="W370" s="1"/>
      <c r="X370" s="1"/>
      <c r="Y370" s="1"/>
      <c r="AH370" s="1"/>
      <c r="AI370" s="1"/>
      <c r="AJ370" s="1"/>
      <c r="AK370" s="1"/>
      <c r="AL370" s="1"/>
      <c r="AM370" s="1"/>
      <c r="AN370" s="1"/>
    </row>
    <row r="371" spans="16:40" ht="15.75" customHeight="1" x14ac:dyDescent="0.25">
      <c r="P371" s="1"/>
      <c r="Q371" s="1"/>
      <c r="R371" s="1"/>
      <c r="S371" s="1"/>
      <c r="T371" s="1"/>
      <c r="U371" s="1"/>
      <c r="V371" s="1"/>
      <c r="W371" s="1"/>
      <c r="X371" s="1"/>
      <c r="Y371" s="1"/>
      <c r="AH371" s="1"/>
      <c r="AI371" s="1"/>
      <c r="AJ371" s="1"/>
      <c r="AK371" s="1"/>
      <c r="AL371" s="1"/>
      <c r="AM371" s="1"/>
      <c r="AN371" s="1"/>
    </row>
    <row r="372" spans="16:40" ht="15.75" customHeight="1" x14ac:dyDescent="0.25">
      <c r="P372" s="1"/>
      <c r="Q372" s="1"/>
      <c r="R372" s="1"/>
      <c r="S372" s="1"/>
      <c r="T372" s="1"/>
      <c r="U372" s="1"/>
      <c r="V372" s="1"/>
      <c r="W372" s="1"/>
      <c r="X372" s="1"/>
      <c r="Y372" s="1"/>
      <c r="AH372" s="1"/>
      <c r="AI372" s="1"/>
      <c r="AJ372" s="1"/>
      <c r="AK372" s="1"/>
      <c r="AL372" s="1"/>
      <c r="AM372" s="1"/>
      <c r="AN372" s="1"/>
    </row>
    <row r="373" spans="16:40" ht="15.75" customHeight="1" x14ac:dyDescent="0.25">
      <c r="P373" s="1"/>
      <c r="Q373" s="1"/>
      <c r="R373" s="1"/>
      <c r="S373" s="1"/>
      <c r="T373" s="1"/>
      <c r="U373" s="1"/>
      <c r="V373" s="1"/>
      <c r="W373" s="1"/>
      <c r="X373" s="1"/>
      <c r="Y373" s="1"/>
      <c r="AH373" s="1"/>
      <c r="AI373" s="1"/>
      <c r="AJ373" s="1"/>
      <c r="AK373" s="1"/>
      <c r="AL373" s="1"/>
      <c r="AM373" s="1"/>
      <c r="AN373" s="1"/>
    </row>
    <row r="374" spans="16:40" ht="15.75" customHeight="1" x14ac:dyDescent="0.25">
      <c r="P374" s="1"/>
      <c r="Q374" s="1"/>
      <c r="R374" s="1"/>
      <c r="S374" s="1"/>
      <c r="T374" s="1"/>
      <c r="U374" s="1"/>
      <c r="V374" s="1"/>
      <c r="W374" s="1"/>
      <c r="X374" s="1"/>
      <c r="Y374" s="1"/>
      <c r="AH374" s="1"/>
      <c r="AI374" s="1"/>
      <c r="AJ374" s="1"/>
      <c r="AK374" s="1"/>
      <c r="AL374" s="1"/>
      <c r="AM374" s="1"/>
      <c r="AN374" s="1"/>
    </row>
    <row r="375" spans="16:40" ht="15.75" customHeight="1" x14ac:dyDescent="0.25">
      <c r="P375" s="1"/>
      <c r="Q375" s="1"/>
      <c r="R375" s="1"/>
      <c r="S375" s="1"/>
      <c r="T375" s="1"/>
      <c r="U375" s="1"/>
      <c r="V375" s="1"/>
      <c r="W375" s="1"/>
      <c r="X375" s="1"/>
      <c r="Y375" s="1"/>
      <c r="AH375" s="1"/>
      <c r="AI375" s="1"/>
      <c r="AJ375" s="1"/>
      <c r="AK375" s="1"/>
      <c r="AL375" s="1"/>
      <c r="AM375" s="1"/>
      <c r="AN375" s="1"/>
    </row>
    <row r="376" spans="16:40" ht="15.75" customHeight="1" x14ac:dyDescent="0.25">
      <c r="P376" s="1"/>
      <c r="Q376" s="1"/>
      <c r="R376" s="1"/>
      <c r="S376" s="1"/>
      <c r="T376" s="1"/>
      <c r="U376" s="1"/>
      <c r="V376" s="1"/>
      <c r="W376" s="1"/>
      <c r="X376" s="1"/>
      <c r="Y376" s="1"/>
      <c r="AH376" s="1"/>
      <c r="AI376" s="1"/>
      <c r="AJ376" s="1"/>
      <c r="AK376" s="1"/>
      <c r="AL376" s="1"/>
      <c r="AM376" s="1"/>
      <c r="AN376" s="1"/>
    </row>
    <row r="377" spans="16:40" ht="15.75" customHeight="1" x14ac:dyDescent="0.25">
      <c r="P377" s="1"/>
      <c r="Q377" s="1"/>
      <c r="R377" s="1"/>
      <c r="S377" s="1"/>
      <c r="T377" s="1"/>
      <c r="U377" s="1"/>
      <c r="V377" s="1"/>
      <c r="W377" s="1"/>
      <c r="X377" s="1"/>
      <c r="Y377" s="1"/>
      <c r="AH377" s="1"/>
      <c r="AI377" s="1"/>
      <c r="AJ377" s="1"/>
      <c r="AK377" s="1"/>
      <c r="AL377" s="1"/>
      <c r="AM377" s="1"/>
      <c r="AN377" s="1"/>
    </row>
    <row r="378" spans="16:40" ht="15.75" customHeight="1" x14ac:dyDescent="0.25">
      <c r="P378" s="1"/>
      <c r="Q378" s="1"/>
      <c r="R378" s="1"/>
      <c r="S378" s="1"/>
      <c r="T378" s="1"/>
      <c r="U378" s="1"/>
      <c r="V378" s="1"/>
      <c r="W378" s="1"/>
      <c r="X378" s="1"/>
      <c r="Y378" s="1"/>
      <c r="AH378" s="1"/>
      <c r="AI378" s="1"/>
      <c r="AJ378" s="1"/>
      <c r="AK378" s="1"/>
      <c r="AL378" s="1"/>
      <c r="AM378" s="1"/>
      <c r="AN378" s="1"/>
    </row>
    <row r="379" spans="16:40" ht="15.75" customHeight="1" x14ac:dyDescent="0.25">
      <c r="P379" s="1"/>
      <c r="Q379" s="1"/>
      <c r="R379" s="1"/>
      <c r="S379" s="1"/>
      <c r="T379" s="1"/>
      <c r="U379" s="1"/>
      <c r="V379" s="1"/>
      <c r="W379" s="1"/>
      <c r="X379" s="1"/>
      <c r="Y379" s="1"/>
      <c r="AH379" s="1"/>
      <c r="AI379" s="1"/>
      <c r="AJ379" s="1"/>
      <c r="AK379" s="1"/>
      <c r="AL379" s="1"/>
      <c r="AM379" s="1"/>
      <c r="AN379" s="1"/>
    </row>
    <row r="380" spans="16:40" ht="15.75" customHeight="1" x14ac:dyDescent="0.25">
      <c r="P380" s="1"/>
      <c r="Q380" s="1"/>
      <c r="R380" s="1"/>
      <c r="S380" s="1"/>
      <c r="T380" s="1"/>
      <c r="U380" s="1"/>
      <c r="V380" s="1"/>
      <c r="W380" s="1"/>
      <c r="X380" s="1"/>
      <c r="Y380" s="1"/>
      <c r="AH380" s="1"/>
      <c r="AI380" s="1"/>
      <c r="AJ380" s="1"/>
      <c r="AK380" s="1"/>
      <c r="AL380" s="1"/>
      <c r="AM380" s="1"/>
      <c r="AN380" s="1"/>
    </row>
    <row r="381" spans="16:40" ht="15.75" customHeight="1" x14ac:dyDescent="0.25">
      <c r="P381" s="1"/>
      <c r="Q381" s="1"/>
      <c r="R381" s="1"/>
      <c r="S381" s="1"/>
      <c r="T381" s="1"/>
      <c r="U381" s="1"/>
      <c r="V381" s="1"/>
      <c r="W381" s="1"/>
      <c r="X381" s="1"/>
      <c r="Y381" s="1"/>
      <c r="AH381" s="1"/>
      <c r="AI381" s="1"/>
      <c r="AJ381" s="1"/>
      <c r="AK381" s="1"/>
      <c r="AL381" s="1"/>
      <c r="AM381" s="1"/>
      <c r="AN381" s="1"/>
    </row>
    <row r="382" spans="16:40" ht="15.75" customHeight="1" x14ac:dyDescent="0.25">
      <c r="P382" s="1"/>
      <c r="Q382" s="1"/>
      <c r="R382" s="1"/>
      <c r="S382" s="1"/>
      <c r="T382" s="1"/>
      <c r="U382" s="1"/>
      <c r="V382" s="1"/>
      <c r="W382" s="1"/>
      <c r="X382" s="1"/>
      <c r="Y382" s="1"/>
      <c r="AH382" s="1"/>
      <c r="AI382" s="1"/>
      <c r="AJ382" s="1"/>
      <c r="AK382" s="1"/>
      <c r="AL382" s="1"/>
      <c r="AM382" s="1"/>
      <c r="AN382" s="1"/>
    </row>
    <row r="383" spans="16:40" ht="15.75" customHeight="1" x14ac:dyDescent="0.25">
      <c r="P383" s="1"/>
      <c r="Q383" s="1"/>
      <c r="R383" s="1"/>
      <c r="S383" s="1"/>
      <c r="T383" s="1"/>
      <c r="U383" s="1"/>
      <c r="V383" s="1"/>
      <c r="W383" s="1"/>
      <c r="X383" s="1"/>
      <c r="Y383" s="1"/>
      <c r="AH383" s="1"/>
      <c r="AI383" s="1"/>
      <c r="AJ383" s="1"/>
      <c r="AK383" s="1"/>
      <c r="AL383" s="1"/>
      <c r="AM383" s="1"/>
      <c r="AN383" s="1"/>
    </row>
    <row r="384" spans="16:40" ht="15.75" customHeight="1" x14ac:dyDescent="0.25">
      <c r="P384" s="1"/>
      <c r="Q384" s="1"/>
      <c r="R384" s="1"/>
      <c r="S384" s="1"/>
      <c r="T384" s="1"/>
      <c r="U384" s="1"/>
      <c r="V384" s="1"/>
      <c r="W384" s="1"/>
      <c r="X384" s="1"/>
      <c r="Y384" s="1"/>
      <c r="AH384" s="1"/>
      <c r="AI384" s="1"/>
      <c r="AJ384" s="1"/>
      <c r="AK384" s="1"/>
      <c r="AL384" s="1"/>
      <c r="AM384" s="1"/>
      <c r="AN384" s="1"/>
    </row>
    <row r="385" spans="16:40" ht="15.75" customHeight="1" x14ac:dyDescent="0.25">
      <c r="P385" s="1"/>
      <c r="Q385" s="1"/>
      <c r="R385" s="1"/>
      <c r="S385" s="1"/>
      <c r="T385" s="1"/>
      <c r="U385" s="1"/>
      <c r="V385" s="1"/>
      <c r="W385" s="1"/>
      <c r="X385" s="1"/>
      <c r="Y385" s="1"/>
      <c r="AH385" s="1"/>
      <c r="AI385" s="1"/>
      <c r="AJ385" s="1"/>
      <c r="AK385" s="1"/>
      <c r="AL385" s="1"/>
      <c r="AM385" s="1"/>
      <c r="AN385" s="1"/>
    </row>
    <row r="386" spans="16:40" ht="15.75" customHeight="1" x14ac:dyDescent="0.25">
      <c r="P386" s="1"/>
      <c r="Q386" s="1"/>
      <c r="R386" s="1"/>
      <c r="S386" s="1"/>
      <c r="T386" s="1"/>
      <c r="U386" s="1"/>
      <c r="V386" s="1"/>
      <c r="W386" s="1"/>
      <c r="X386" s="1"/>
      <c r="Y386" s="1"/>
      <c r="AH386" s="1"/>
      <c r="AI386" s="1"/>
      <c r="AJ386" s="1"/>
      <c r="AK386" s="1"/>
      <c r="AL386" s="1"/>
      <c r="AM386" s="1"/>
      <c r="AN386" s="1"/>
    </row>
    <row r="387" spans="16:40" ht="15.75" customHeight="1" x14ac:dyDescent="0.25">
      <c r="P387" s="1"/>
      <c r="Q387" s="1"/>
      <c r="R387" s="1"/>
      <c r="S387" s="1"/>
      <c r="T387" s="1"/>
      <c r="U387" s="1"/>
      <c r="V387" s="1"/>
      <c r="W387" s="1"/>
      <c r="X387" s="1"/>
      <c r="Y387" s="1"/>
      <c r="AH387" s="1"/>
      <c r="AI387" s="1"/>
      <c r="AJ387" s="1"/>
      <c r="AK387" s="1"/>
      <c r="AL387" s="1"/>
      <c r="AM387" s="1"/>
      <c r="AN387" s="1"/>
    </row>
    <row r="388" spans="16:40" ht="15.75" customHeight="1" x14ac:dyDescent="0.25">
      <c r="P388" s="1"/>
      <c r="Q388" s="1"/>
      <c r="R388" s="1"/>
      <c r="S388" s="1"/>
      <c r="T388" s="1"/>
      <c r="U388" s="1"/>
      <c r="V388" s="1"/>
      <c r="W388" s="1"/>
      <c r="X388" s="1"/>
      <c r="Y388" s="1"/>
      <c r="AH388" s="1"/>
      <c r="AI388" s="1"/>
      <c r="AJ388" s="1"/>
      <c r="AK388" s="1"/>
      <c r="AL388" s="1"/>
      <c r="AM388" s="1"/>
      <c r="AN388" s="1"/>
    </row>
    <row r="389" spans="16:40" ht="15.75" customHeight="1" x14ac:dyDescent="0.25">
      <c r="P389" s="1"/>
      <c r="Q389" s="1"/>
      <c r="R389" s="1"/>
      <c r="S389" s="1"/>
      <c r="T389" s="1"/>
      <c r="U389" s="1"/>
      <c r="V389" s="1"/>
      <c r="W389" s="1"/>
      <c r="X389" s="1"/>
      <c r="Y389" s="1"/>
      <c r="AH389" s="1"/>
      <c r="AI389" s="1"/>
      <c r="AJ389" s="1"/>
      <c r="AK389" s="1"/>
      <c r="AL389" s="1"/>
      <c r="AM389" s="1"/>
      <c r="AN389" s="1"/>
    </row>
    <row r="390" spans="16:40" ht="15.75" customHeight="1" x14ac:dyDescent="0.25">
      <c r="P390" s="1"/>
      <c r="Q390" s="1"/>
      <c r="R390" s="1"/>
      <c r="S390" s="1"/>
      <c r="T390" s="1"/>
      <c r="U390" s="1"/>
      <c r="V390" s="1"/>
      <c r="W390" s="1"/>
      <c r="X390" s="1"/>
      <c r="Y390" s="1"/>
      <c r="AH390" s="1"/>
      <c r="AI390" s="1"/>
      <c r="AJ390" s="1"/>
      <c r="AK390" s="1"/>
      <c r="AL390" s="1"/>
      <c r="AM390" s="1"/>
      <c r="AN390" s="1"/>
    </row>
    <row r="391" spans="16:40" ht="15.75" customHeight="1" x14ac:dyDescent="0.25">
      <c r="P391" s="1"/>
      <c r="Q391" s="1"/>
      <c r="R391" s="1"/>
      <c r="S391" s="1"/>
      <c r="T391" s="1"/>
      <c r="U391" s="1"/>
      <c r="V391" s="1"/>
      <c r="W391" s="1"/>
      <c r="X391" s="1"/>
      <c r="Y391" s="1"/>
      <c r="AH391" s="1"/>
      <c r="AI391" s="1"/>
      <c r="AJ391" s="1"/>
      <c r="AK391" s="1"/>
      <c r="AL391" s="1"/>
      <c r="AM391" s="1"/>
      <c r="AN391" s="1"/>
    </row>
    <row r="392" spans="16:40" ht="15.75" customHeight="1" x14ac:dyDescent="0.25">
      <c r="P392" s="1"/>
      <c r="Q392" s="1"/>
      <c r="R392" s="1"/>
      <c r="S392" s="1"/>
      <c r="T392" s="1"/>
      <c r="U392" s="1"/>
      <c r="V392" s="1"/>
      <c r="W392" s="1"/>
      <c r="X392" s="1"/>
      <c r="Y392" s="1"/>
      <c r="AH392" s="1"/>
      <c r="AI392" s="1"/>
      <c r="AJ392" s="1"/>
      <c r="AK392" s="1"/>
      <c r="AL392" s="1"/>
      <c r="AM392" s="1"/>
      <c r="AN392" s="1"/>
    </row>
    <row r="393" spans="16:40" ht="15.75" customHeight="1" x14ac:dyDescent="0.25">
      <c r="P393" s="1"/>
      <c r="Q393" s="1"/>
      <c r="R393" s="1"/>
      <c r="S393" s="1"/>
      <c r="T393" s="1"/>
      <c r="U393" s="1"/>
      <c r="V393" s="1"/>
      <c r="W393" s="1"/>
      <c r="X393" s="1"/>
      <c r="Y393" s="1"/>
      <c r="AH393" s="1"/>
      <c r="AI393" s="1"/>
      <c r="AJ393" s="1"/>
      <c r="AK393" s="1"/>
      <c r="AL393" s="1"/>
      <c r="AM393" s="1"/>
      <c r="AN393" s="1"/>
    </row>
    <row r="394" spans="16:40" ht="15.75" customHeight="1" x14ac:dyDescent="0.25">
      <c r="P394" s="1"/>
      <c r="Q394" s="1"/>
      <c r="R394" s="1"/>
      <c r="S394" s="1"/>
      <c r="T394" s="1"/>
      <c r="U394" s="1"/>
      <c r="V394" s="1"/>
      <c r="W394" s="1"/>
      <c r="X394" s="1"/>
      <c r="Y394" s="1"/>
      <c r="AH394" s="1"/>
      <c r="AI394" s="1"/>
      <c r="AJ394" s="1"/>
      <c r="AK394" s="1"/>
      <c r="AL394" s="1"/>
      <c r="AM394" s="1"/>
      <c r="AN394" s="1"/>
    </row>
    <row r="395" spans="16:40" ht="15.75" customHeight="1" x14ac:dyDescent="0.25">
      <c r="P395" s="1"/>
      <c r="Q395" s="1"/>
      <c r="R395" s="1"/>
      <c r="S395" s="1"/>
      <c r="T395" s="1"/>
      <c r="U395" s="1"/>
      <c r="V395" s="1"/>
      <c r="W395" s="1"/>
      <c r="X395" s="1"/>
      <c r="Y395" s="1"/>
      <c r="AH395" s="1"/>
      <c r="AI395" s="1"/>
      <c r="AJ395" s="1"/>
      <c r="AK395" s="1"/>
      <c r="AL395" s="1"/>
      <c r="AM395" s="1"/>
      <c r="AN395" s="1"/>
    </row>
    <row r="396" spans="16:40" ht="15.75" customHeight="1" x14ac:dyDescent="0.25">
      <c r="P396" s="1"/>
      <c r="Q396" s="1"/>
      <c r="R396" s="1"/>
      <c r="S396" s="1"/>
      <c r="T396" s="1"/>
      <c r="U396" s="1"/>
      <c r="V396" s="1"/>
      <c r="W396" s="1"/>
      <c r="X396" s="1"/>
      <c r="Y396" s="1"/>
      <c r="AH396" s="1"/>
      <c r="AI396" s="1"/>
      <c r="AJ396" s="1"/>
      <c r="AK396" s="1"/>
      <c r="AL396" s="1"/>
      <c r="AM396" s="1"/>
      <c r="AN396" s="1"/>
    </row>
    <row r="397" spans="16:40" ht="15.75" customHeight="1" x14ac:dyDescent="0.25">
      <c r="P397" s="1"/>
      <c r="Q397" s="1"/>
      <c r="R397" s="1"/>
      <c r="S397" s="1"/>
      <c r="T397" s="1"/>
      <c r="U397" s="1"/>
      <c r="V397" s="1"/>
      <c r="W397" s="1"/>
      <c r="X397" s="1"/>
      <c r="Y397" s="1"/>
      <c r="AH397" s="1"/>
      <c r="AI397" s="1"/>
      <c r="AJ397" s="1"/>
      <c r="AK397" s="1"/>
      <c r="AL397" s="1"/>
      <c r="AM397" s="1"/>
      <c r="AN397" s="1"/>
    </row>
    <row r="398" spans="16:40" ht="15.75" customHeight="1" x14ac:dyDescent="0.25">
      <c r="P398" s="1"/>
      <c r="Q398" s="1"/>
      <c r="R398" s="1"/>
      <c r="S398" s="1"/>
      <c r="T398" s="1"/>
      <c r="U398" s="1"/>
      <c r="V398" s="1"/>
      <c r="W398" s="1"/>
      <c r="X398" s="1"/>
      <c r="Y398" s="1"/>
      <c r="AH398" s="1"/>
      <c r="AI398" s="1"/>
      <c r="AJ398" s="1"/>
      <c r="AK398" s="1"/>
      <c r="AL398" s="1"/>
      <c r="AM398" s="1"/>
      <c r="AN398" s="1"/>
    </row>
    <row r="399" spans="16:40" ht="15.75" customHeight="1" x14ac:dyDescent="0.25">
      <c r="P399" s="1"/>
      <c r="Q399" s="1"/>
      <c r="R399" s="1"/>
      <c r="S399" s="1"/>
      <c r="T399" s="1"/>
      <c r="U399" s="1"/>
      <c r="V399" s="1"/>
      <c r="W399" s="1"/>
      <c r="X399" s="1"/>
      <c r="Y399" s="1"/>
      <c r="AH399" s="1"/>
      <c r="AI399" s="1"/>
      <c r="AJ399" s="1"/>
      <c r="AK399" s="1"/>
      <c r="AL399" s="1"/>
      <c r="AM399" s="1"/>
      <c r="AN399" s="1"/>
    </row>
    <row r="400" spans="16:40" ht="15.75" customHeight="1" x14ac:dyDescent="0.25">
      <c r="P400" s="1"/>
      <c r="Q400" s="1"/>
      <c r="R400" s="1"/>
      <c r="S400" s="1"/>
      <c r="T400" s="1"/>
      <c r="U400" s="1"/>
      <c r="V400" s="1"/>
      <c r="W400" s="1"/>
      <c r="X400" s="1"/>
      <c r="Y400" s="1"/>
      <c r="AH400" s="1"/>
      <c r="AI400" s="1"/>
      <c r="AJ400" s="1"/>
      <c r="AK400" s="1"/>
      <c r="AL400" s="1"/>
      <c r="AM400" s="1"/>
      <c r="AN400" s="1"/>
    </row>
    <row r="401" spans="16:40" ht="15.75" customHeight="1" x14ac:dyDescent="0.25">
      <c r="P401" s="1"/>
      <c r="Q401" s="1"/>
      <c r="R401" s="1"/>
      <c r="S401" s="1"/>
      <c r="T401" s="1"/>
      <c r="U401" s="1"/>
      <c r="V401" s="1"/>
      <c r="W401" s="1"/>
      <c r="X401" s="1"/>
      <c r="Y401" s="1"/>
      <c r="AH401" s="1"/>
      <c r="AI401" s="1"/>
      <c r="AJ401" s="1"/>
      <c r="AK401" s="1"/>
      <c r="AL401" s="1"/>
      <c r="AM401" s="1"/>
      <c r="AN401" s="1"/>
    </row>
    <row r="402" spans="16:40" ht="15.75" customHeight="1" x14ac:dyDescent="0.25">
      <c r="P402" s="1"/>
      <c r="Q402" s="1"/>
      <c r="R402" s="1"/>
      <c r="S402" s="1"/>
      <c r="T402" s="1"/>
      <c r="U402" s="1"/>
      <c r="V402" s="1"/>
      <c r="W402" s="1"/>
      <c r="X402" s="1"/>
      <c r="Y402" s="1"/>
      <c r="AH402" s="1"/>
      <c r="AI402" s="1"/>
      <c r="AJ402" s="1"/>
      <c r="AK402" s="1"/>
      <c r="AL402" s="1"/>
      <c r="AM402" s="1"/>
      <c r="AN402" s="1"/>
    </row>
    <row r="403" spans="16:40" ht="15.75" customHeight="1" x14ac:dyDescent="0.25">
      <c r="P403" s="1"/>
      <c r="Q403" s="1"/>
      <c r="R403" s="1"/>
      <c r="S403" s="1"/>
      <c r="T403" s="1"/>
      <c r="U403" s="1"/>
      <c r="V403" s="1"/>
      <c r="W403" s="1"/>
      <c r="X403" s="1"/>
      <c r="Y403" s="1"/>
      <c r="AH403" s="1"/>
      <c r="AI403" s="1"/>
      <c r="AJ403" s="1"/>
      <c r="AK403" s="1"/>
      <c r="AL403" s="1"/>
      <c r="AM403" s="1"/>
      <c r="AN403" s="1"/>
    </row>
    <row r="404" spans="16:40" ht="15.75" customHeight="1" x14ac:dyDescent="0.25">
      <c r="P404" s="1"/>
      <c r="Q404" s="1"/>
      <c r="R404" s="1"/>
      <c r="S404" s="1"/>
      <c r="T404" s="1"/>
      <c r="U404" s="1"/>
      <c r="V404" s="1"/>
      <c r="W404" s="1"/>
      <c r="X404" s="1"/>
      <c r="Y404" s="1"/>
      <c r="AH404" s="1"/>
      <c r="AI404" s="1"/>
      <c r="AJ404" s="1"/>
      <c r="AK404" s="1"/>
      <c r="AL404" s="1"/>
      <c r="AM404" s="1"/>
      <c r="AN404" s="1"/>
    </row>
    <row r="405" spans="16:40" ht="15.75" customHeight="1" x14ac:dyDescent="0.25">
      <c r="P405" s="1"/>
      <c r="Q405" s="1"/>
      <c r="R405" s="1"/>
      <c r="S405" s="1"/>
      <c r="T405" s="1"/>
      <c r="U405" s="1"/>
      <c r="V405" s="1"/>
      <c r="W405" s="1"/>
      <c r="X405" s="1"/>
      <c r="Y405" s="1"/>
      <c r="AH405" s="1"/>
      <c r="AI405" s="1"/>
      <c r="AJ405" s="1"/>
      <c r="AK405" s="1"/>
      <c r="AL405" s="1"/>
      <c r="AM405" s="1"/>
      <c r="AN405" s="1"/>
    </row>
    <row r="406" spans="16:40" ht="15.75" customHeight="1" x14ac:dyDescent="0.25">
      <c r="P406" s="1"/>
      <c r="Q406" s="1"/>
      <c r="R406" s="1"/>
      <c r="S406" s="1"/>
      <c r="T406" s="1"/>
      <c r="U406" s="1"/>
      <c r="V406" s="1"/>
      <c r="W406" s="1"/>
      <c r="X406" s="1"/>
      <c r="Y406" s="1"/>
      <c r="AH406" s="1"/>
      <c r="AI406" s="1"/>
      <c r="AJ406" s="1"/>
      <c r="AK406" s="1"/>
      <c r="AL406" s="1"/>
      <c r="AM406" s="1"/>
      <c r="AN406" s="1"/>
    </row>
    <row r="407" spans="16:40" ht="15.75" customHeight="1" x14ac:dyDescent="0.25">
      <c r="P407" s="1"/>
      <c r="Q407" s="1"/>
      <c r="R407" s="1"/>
      <c r="S407" s="1"/>
      <c r="T407" s="1"/>
      <c r="U407" s="1"/>
      <c r="V407" s="1"/>
      <c r="W407" s="1"/>
      <c r="X407" s="1"/>
      <c r="Y407" s="1"/>
      <c r="AH407" s="1"/>
      <c r="AI407" s="1"/>
      <c r="AJ407" s="1"/>
      <c r="AK407" s="1"/>
      <c r="AL407" s="1"/>
      <c r="AM407" s="1"/>
      <c r="AN407" s="1"/>
    </row>
    <row r="408" spans="16:40" ht="15.75" customHeight="1" x14ac:dyDescent="0.25">
      <c r="P408" s="1"/>
      <c r="Q408" s="1"/>
      <c r="R408" s="1"/>
      <c r="S408" s="1"/>
      <c r="T408" s="1"/>
      <c r="U408" s="1"/>
      <c r="V408" s="1"/>
      <c r="W408" s="1"/>
      <c r="X408" s="1"/>
      <c r="Y408" s="1"/>
      <c r="AH408" s="1"/>
      <c r="AI408" s="1"/>
      <c r="AJ408" s="1"/>
      <c r="AK408" s="1"/>
      <c r="AL408" s="1"/>
      <c r="AM408" s="1"/>
      <c r="AN408" s="1"/>
    </row>
    <row r="409" spans="16:40" ht="15.75" customHeight="1" x14ac:dyDescent="0.25">
      <c r="P409" s="1"/>
      <c r="Q409" s="1"/>
      <c r="R409" s="1"/>
      <c r="S409" s="1"/>
      <c r="T409" s="1"/>
      <c r="U409" s="1"/>
      <c r="V409" s="1"/>
      <c r="W409" s="1"/>
      <c r="X409" s="1"/>
      <c r="Y409" s="1"/>
      <c r="AH409" s="1"/>
      <c r="AI409" s="1"/>
      <c r="AJ409" s="1"/>
      <c r="AK409" s="1"/>
      <c r="AL409" s="1"/>
      <c r="AM409" s="1"/>
      <c r="AN409" s="1"/>
    </row>
    <row r="410" spans="16:40" ht="15.75" customHeight="1" x14ac:dyDescent="0.25">
      <c r="P410" s="1"/>
      <c r="Q410" s="1"/>
      <c r="R410" s="1"/>
      <c r="S410" s="1"/>
      <c r="T410" s="1"/>
      <c r="U410" s="1"/>
      <c r="V410" s="1"/>
      <c r="W410" s="1"/>
      <c r="X410" s="1"/>
      <c r="Y410" s="1"/>
      <c r="AH410" s="1"/>
      <c r="AI410" s="1"/>
      <c r="AJ410" s="1"/>
      <c r="AK410" s="1"/>
      <c r="AL410" s="1"/>
      <c r="AM410" s="1"/>
      <c r="AN410" s="1"/>
    </row>
    <row r="411" spans="16:40" ht="15.75" customHeight="1" x14ac:dyDescent="0.25">
      <c r="P411" s="1"/>
      <c r="Q411" s="1"/>
      <c r="R411" s="1"/>
      <c r="S411" s="1"/>
      <c r="T411" s="1"/>
      <c r="U411" s="1"/>
      <c r="V411" s="1"/>
      <c r="W411" s="1"/>
      <c r="X411" s="1"/>
      <c r="Y411" s="1"/>
      <c r="AH411" s="1"/>
      <c r="AI411" s="1"/>
      <c r="AJ411" s="1"/>
      <c r="AK411" s="1"/>
      <c r="AL411" s="1"/>
      <c r="AM411" s="1"/>
      <c r="AN411" s="1"/>
    </row>
    <row r="412" spans="16:40" ht="15.75" customHeight="1" x14ac:dyDescent="0.25">
      <c r="P412" s="1"/>
      <c r="Q412" s="1"/>
      <c r="R412" s="1"/>
      <c r="S412" s="1"/>
      <c r="T412" s="1"/>
      <c r="U412" s="1"/>
      <c r="V412" s="1"/>
      <c r="W412" s="1"/>
      <c r="X412" s="1"/>
      <c r="Y412" s="1"/>
      <c r="AH412" s="1"/>
      <c r="AI412" s="1"/>
      <c r="AJ412" s="1"/>
      <c r="AK412" s="1"/>
      <c r="AL412" s="1"/>
      <c r="AM412" s="1"/>
      <c r="AN412" s="1"/>
    </row>
    <row r="413" spans="16:40" ht="15.75" customHeight="1" x14ac:dyDescent="0.25">
      <c r="P413" s="1"/>
      <c r="Q413" s="1"/>
      <c r="R413" s="1"/>
      <c r="S413" s="1"/>
      <c r="T413" s="1"/>
      <c r="U413" s="1"/>
      <c r="V413" s="1"/>
      <c r="W413" s="1"/>
      <c r="X413" s="1"/>
      <c r="Y413" s="1"/>
      <c r="AH413" s="1"/>
      <c r="AI413" s="1"/>
      <c r="AJ413" s="1"/>
      <c r="AK413" s="1"/>
      <c r="AL413" s="1"/>
      <c r="AM413" s="1"/>
      <c r="AN413" s="1"/>
    </row>
    <row r="414" spans="16:40" ht="15.75" customHeight="1" x14ac:dyDescent="0.25">
      <c r="P414" s="1"/>
      <c r="Q414" s="1"/>
      <c r="R414" s="1"/>
      <c r="S414" s="1"/>
      <c r="T414" s="1"/>
      <c r="U414" s="1"/>
      <c r="V414" s="1"/>
      <c r="W414" s="1"/>
      <c r="X414" s="1"/>
      <c r="Y414" s="1"/>
      <c r="AH414" s="1"/>
      <c r="AI414" s="1"/>
      <c r="AJ414" s="1"/>
      <c r="AK414" s="1"/>
      <c r="AL414" s="1"/>
      <c r="AM414" s="1"/>
      <c r="AN414" s="1"/>
    </row>
    <row r="415" spans="16:40" ht="15.75" customHeight="1" x14ac:dyDescent="0.25">
      <c r="P415" s="1"/>
      <c r="Q415" s="1"/>
      <c r="R415" s="1"/>
      <c r="S415" s="1"/>
      <c r="T415" s="1"/>
      <c r="U415" s="1"/>
      <c r="V415" s="1"/>
      <c r="W415" s="1"/>
      <c r="X415" s="1"/>
      <c r="Y415" s="1"/>
      <c r="AH415" s="1"/>
      <c r="AI415" s="1"/>
      <c r="AJ415" s="1"/>
      <c r="AK415" s="1"/>
      <c r="AL415" s="1"/>
      <c r="AM415" s="1"/>
      <c r="AN415" s="1"/>
    </row>
    <row r="416" spans="16:40" ht="15.75" customHeight="1" x14ac:dyDescent="0.25">
      <c r="P416" s="1"/>
      <c r="Q416" s="1"/>
      <c r="R416" s="1"/>
      <c r="S416" s="1"/>
      <c r="T416" s="1"/>
      <c r="U416" s="1"/>
      <c r="V416" s="1"/>
      <c r="W416" s="1"/>
      <c r="X416" s="1"/>
      <c r="Y416" s="1"/>
      <c r="AH416" s="1"/>
      <c r="AI416" s="1"/>
      <c r="AJ416" s="1"/>
      <c r="AK416" s="1"/>
      <c r="AL416" s="1"/>
      <c r="AM416" s="1"/>
      <c r="AN416" s="1"/>
    </row>
    <row r="417" spans="16:40" ht="15.75" customHeight="1" x14ac:dyDescent="0.25">
      <c r="P417" s="1"/>
      <c r="Q417" s="1"/>
      <c r="R417" s="1"/>
      <c r="S417" s="1"/>
      <c r="T417" s="1"/>
      <c r="U417" s="1"/>
      <c r="V417" s="1"/>
      <c r="W417" s="1"/>
      <c r="X417" s="1"/>
      <c r="Y417" s="1"/>
      <c r="AH417" s="1"/>
      <c r="AI417" s="1"/>
      <c r="AJ417" s="1"/>
      <c r="AK417" s="1"/>
      <c r="AL417" s="1"/>
      <c r="AM417" s="1"/>
      <c r="AN417" s="1"/>
    </row>
    <row r="418" spans="16:40" ht="15.75" customHeight="1" x14ac:dyDescent="0.25">
      <c r="P418" s="1"/>
      <c r="Q418" s="1"/>
      <c r="R418" s="1"/>
      <c r="S418" s="1"/>
      <c r="T418" s="1"/>
      <c r="U418" s="1"/>
      <c r="V418" s="1"/>
      <c r="W418" s="1"/>
      <c r="X418" s="1"/>
      <c r="Y418" s="1"/>
      <c r="AH418" s="1"/>
      <c r="AI418" s="1"/>
      <c r="AJ418" s="1"/>
      <c r="AK418" s="1"/>
      <c r="AL418" s="1"/>
      <c r="AM418" s="1"/>
      <c r="AN418" s="1"/>
    </row>
    <row r="419" spans="16:40" ht="15.75" customHeight="1" x14ac:dyDescent="0.25">
      <c r="P419" s="1"/>
      <c r="Q419" s="1"/>
      <c r="R419" s="1"/>
      <c r="S419" s="1"/>
      <c r="T419" s="1"/>
      <c r="U419" s="1"/>
      <c r="V419" s="1"/>
      <c r="W419" s="1"/>
      <c r="X419" s="1"/>
      <c r="Y419" s="1"/>
      <c r="AH419" s="1"/>
      <c r="AI419" s="1"/>
      <c r="AJ419" s="1"/>
      <c r="AK419" s="1"/>
      <c r="AL419" s="1"/>
      <c r="AM419" s="1"/>
      <c r="AN419" s="1"/>
    </row>
    <row r="420" spans="16:40" ht="15.75" customHeight="1" x14ac:dyDescent="0.25">
      <c r="P420" s="1"/>
      <c r="Q420" s="1"/>
      <c r="R420" s="1"/>
      <c r="S420" s="1"/>
      <c r="T420" s="1"/>
      <c r="U420" s="1"/>
      <c r="V420" s="1"/>
      <c r="W420" s="1"/>
      <c r="X420" s="1"/>
      <c r="Y420" s="1"/>
      <c r="AH420" s="1"/>
      <c r="AI420" s="1"/>
      <c r="AJ420" s="1"/>
      <c r="AK420" s="1"/>
      <c r="AL420" s="1"/>
      <c r="AM420" s="1"/>
      <c r="AN420" s="1"/>
    </row>
    <row r="421" spans="16:40" ht="15.75" customHeight="1" x14ac:dyDescent="0.25">
      <c r="P421" s="1"/>
      <c r="Q421" s="1"/>
      <c r="R421" s="1"/>
      <c r="S421" s="1"/>
      <c r="T421" s="1"/>
      <c r="U421" s="1"/>
      <c r="V421" s="1"/>
      <c r="W421" s="1"/>
      <c r="X421" s="1"/>
      <c r="Y421" s="1"/>
      <c r="AH421" s="1"/>
      <c r="AI421" s="1"/>
      <c r="AJ421" s="1"/>
      <c r="AK421" s="1"/>
      <c r="AL421" s="1"/>
      <c r="AM421" s="1"/>
      <c r="AN421" s="1"/>
    </row>
    <row r="422" spans="16:40" ht="15.75" customHeight="1" x14ac:dyDescent="0.25">
      <c r="P422" s="1"/>
      <c r="Q422" s="1"/>
      <c r="R422" s="1"/>
      <c r="S422" s="1"/>
      <c r="T422" s="1"/>
      <c r="U422" s="1"/>
      <c r="V422" s="1"/>
      <c r="W422" s="1"/>
      <c r="X422" s="1"/>
      <c r="Y422" s="1"/>
      <c r="AH422" s="1"/>
      <c r="AI422" s="1"/>
      <c r="AJ422" s="1"/>
      <c r="AK422" s="1"/>
      <c r="AL422" s="1"/>
      <c r="AM422" s="1"/>
      <c r="AN422" s="1"/>
    </row>
    <row r="423" spans="16:40" ht="15.75" customHeight="1" x14ac:dyDescent="0.25">
      <c r="P423" s="1"/>
      <c r="Q423" s="1"/>
      <c r="R423" s="1"/>
      <c r="S423" s="1"/>
      <c r="T423" s="1"/>
      <c r="U423" s="1"/>
      <c r="V423" s="1"/>
      <c r="W423" s="1"/>
      <c r="X423" s="1"/>
      <c r="Y423" s="1"/>
      <c r="AH423" s="1"/>
      <c r="AI423" s="1"/>
      <c r="AJ423" s="1"/>
      <c r="AK423" s="1"/>
      <c r="AL423" s="1"/>
      <c r="AM423" s="1"/>
      <c r="AN423" s="1"/>
    </row>
    <row r="424" spans="16:40" ht="15.75" customHeight="1" x14ac:dyDescent="0.25">
      <c r="P424" s="1"/>
      <c r="Q424" s="1"/>
      <c r="R424" s="1"/>
      <c r="S424" s="1"/>
      <c r="T424" s="1"/>
      <c r="U424" s="1"/>
      <c r="V424" s="1"/>
      <c r="W424" s="1"/>
      <c r="X424" s="1"/>
      <c r="Y424" s="1"/>
      <c r="AH424" s="1"/>
      <c r="AI424" s="1"/>
      <c r="AJ424" s="1"/>
      <c r="AK424" s="1"/>
      <c r="AL424" s="1"/>
      <c r="AM424" s="1"/>
      <c r="AN424" s="1"/>
    </row>
    <row r="425" spans="16:40" ht="15.75" customHeight="1" x14ac:dyDescent="0.25">
      <c r="P425" s="1"/>
      <c r="Q425" s="1"/>
      <c r="R425" s="1"/>
      <c r="S425" s="1"/>
      <c r="T425" s="1"/>
      <c r="U425" s="1"/>
      <c r="V425" s="1"/>
      <c r="W425" s="1"/>
      <c r="X425" s="1"/>
      <c r="Y425" s="1"/>
      <c r="AH425" s="1"/>
      <c r="AI425" s="1"/>
      <c r="AJ425" s="1"/>
      <c r="AK425" s="1"/>
      <c r="AL425" s="1"/>
      <c r="AM425" s="1"/>
      <c r="AN425" s="1"/>
    </row>
    <row r="426" spans="16:40" ht="15.75" customHeight="1" x14ac:dyDescent="0.25">
      <c r="P426" s="1"/>
      <c r="Q426" s="1"/>
      <c r="R426" s="1"/>
      <c r="S426" s="1"/>
      <c r="T426" s="1"/>
      <c r="U426" s="1"/>
      <c r="V426" s="1"/>
      <c r="W426" s="1"/>
      <c r="X426" s="1"/>
      <c r="Y426" s="1"/>
      <c r="AH426" s="1"/>
      <c r="AI426" s="1"/>
      <c r="AJ426" s="1"/>
      <c r="AK426" s="1"/>
      <c r="AL426" s="1"/>
      <c r="AM426" s="1"/>
      <c r="AN426" s="1"/>
    </row>
    <row r="427" spans="16:40" ht="15.75" customHeight="1" x14ac:dyDescent="0.25">
      <c r="P427" s="1"/>
      <c r="Q427" s="1"/>
      <c r="R427" s="1"/>
      <c r="S427" s="1"/>
      <c r="T427" s="1"/>
      <c r="U427" s="1"/>
      <c r="V427" s="1"/>
      <c r="W427" s="1"/>
      <c r="X427" s="1"/>
      <c r="Y427" s="1"/>
      <c r="AH427" s="1"/>
      <c r="AI427" s="1"/>
      <c r="AJ427" s="1"/>
      <c r="AK427" s="1"/>
      <c r="AL427" s="1"/>
      <c r="AM427" s="1"/>
      <c r="AN427" s="1"/>
    </row>
    <row r="428" spans="16:40" ht="15.75" customHeight="1" x14ac:dyDescent="0.25">
      <c r="P428" s="1"/>
      <c r="Q428" s="1"/>
      <c r="R428" s="1"/>
      <c r="S428" s="1"/>
      <c r="T428" s="1"/>
      <c r="U428" s="1"/>
      <c r="V428" s="1"/>
      <c r="W428" s="1"/>
      <c r="X428" s="1"/>
      <c r="Y428" s="1"/>
      <c r="AH428" s="1"/>
      <c r="AI428" s="1"/>
      <c r="AJ428" s="1"/>
      <c r="AK428" s="1"/>
      <c r="AL428" s="1"/>
      <c r="AM428" s="1"/>
      <c r="AN428" s="1"/>
    </row>
    <row r="429" spans="16:40" ht="15.75" customHeight="1" x14ac:dyDescent="0.25">
      <c r="P429" s="1"/>
      <c r="Q429" s="1"/>
      <c r="R429" s="1"/>
      <c r="S429" s="1"/>
      <c r="T429" s="1"/>
      <c r="U429" s="1"/>
      <c r="V429" s="1"/>
      <c r="W429" s="1"/>
      <c r="X429" s="1"/>
      <c r="Y429" s="1"/>
      <c r="AH429" s="1"/>
      <c r="AI429" s="1"/>
      <c r="AJ429" s="1"/>
      <c r="AK429" s="1"/>
      <c r="AL429" s="1"/>
      <c r="AM429" s="1"/>
      <c r="AN429" s="1"/>
    </row>
    <row r="430" spans="16:40" ht="15.75" customHeight="1" x14ac:dyDescent="0.25">
      <c r="P430" s="1"/>
      <c r="Q430" s="1"/>
      <c r="R430" s="1"/>
      <c r="S430" s="1"/>
      <c r="T430" s="1"/>
      <c r="U430" s="1"/>
      <c r="V430" s="1"/>
      <c r="W430" s="1"/>
      <c r="X430" s="1"/>
      <c r="Y430" s="1"/>
      <c r="AH430" s="1"/>
      <c r="AI430" s="1"/>
      <c r="AJ430" s="1"/>
      <c r="AK430" s="1"/>
      <c r="AL430" s="1"/>
      <c r="AM430" s="1"/>
      <c r="AN430" s="1"/>
    </row>
    <row r="431" spans="16:40" ht="15.75" customHeight="1" x14ac:dyDescent="0.25">
      <c r="P431" s="1"/>
      <c r="Q431" s="1"/>
      <c r="R431" s="1"/>
      <c r="S431" s="1"/>
      <c r="T431" s="1"/>
      <c r="U431" s="1"/>
      <c r="V431" s="1"/>
      <c r="W431" s="1"/>
      <c r="X431" s="1"/>
      <c r="Y431" s="1"/>
      <c r="AH431" s="1"/>
      <c r="AI431" s="1"/>
      <c r="AJ431" s="1"/>
      <c r="AK431" s="1"/>
      <c r="AL431" s="1"/>
      <c r="AM431" s="1"/>
      <c r="AN431" s="1"/>
    </row>
    <row r="432" spans="16:40" ht="15.75" customHeight="1" x14ac:dyDescent="0.25">
      <c r="P432" s="1"/>
      <c r="Q432" s="1"/>
      <c r="R432" s="1"/>
      <c r="S432" s="1"/>
      <c r="T432" s="1"/>
      <c r="U432" s="1"/>
      <c r="V432" s="1"/>
      <c r="W432" s="1"/>
      <c r="X432" s="1"/>
      <c r="Y432" s="1"/>
      <c r="AH432" s="1"/>
      <c r="AI432" s="1"/>
      <c r="AJ432" s="1"/>
      <c r="AK432" s="1"/>
      <c r="AL432" s="1"/>
      <c r="AM432" s="1"/>
      <c r="AN432" s="1"/>
    </row>
    <row r="433" spans="16:40" ht="15.75" customHeight="1" x14ac:dyDescent="0.25">
      <c r="P433" s="1"/>
      <c r="Q433" s="1"/>
      <c r="R433" s="1"/>
      <c r="S433" s="1"/>
      <c r="T433" s="1"/>
      <c r="U433" s="1"/>
      <c r="V433" s="1"/>
      <c r="W433" s="1"/>
      <c r="X433" s="1"/>
      <c r="Y433" s="1"/>
      <c r="AH433" s="1"/>
      <c r="AI433" s="1"/>
      <c r="AJ433" s="1"/>
      <c r="AK433" s="1"/>
      <c r="AL433" s="1"/>
      <c r="AM433" s="1"/>
      <c r="AN433" s="1"/>
    </row>
    <row r="434" spans="16:40" ht="15.75" customHeight="1" x14ac:dyDescent="0.25">
      <c r="P434" s="1"/>
      <c r="Q434" s="1"/>
      <c r="R434" s="1"/>
      <c r="S434" s="1"/>
      <c r="T434" s="1"/>
      <c r="U434" s="1"/>
      <c r="V434" s="1"/>
      <c r="W434" s="1"/>
      <c r="X434" s="1"/>
      <c r="Y434" s="1"/>
      <c r="AH434" s="1"/>
      <c r="AI434" s="1"/>
      <c r="AJ434" s="1"/>
      <c r="AK434" s="1"/>
      <c r="AL434" s="1"/>
      <c r="AM434" s="1"/>
      <c r="AN434" s="1"/>
    </row>
    <row r="435" spans="16:40" ht="15.75" customHeight="1" x14ac:dyDescent="0.25">
      <c r="P435" s="1"/>
      <c r="Q435" s="1"/>
      <c r="R435" s="1"/>
      <c r="S435" s="1"/>
      <c r="T435" s="1"/>
      <c r="U435" s="1"/>
      <c r="V435" s="1"/>
      <c r="W435" s="1"/>
      <c r="X435" s="1"/>
      <c r="Y435" s="1"/>
      <c r="AH435" s="1"/>
      <c r="AI435" s="1"/>
      <c r="AJ435" s="1"/>
      <c r="AK435" s="1"/>
      <c r="AL435" s="1"/>
      <c r="AM435" s="1"/>
      <c r="AN435" s="1"/>
    </row>
    <row r="436" spans="16:40" ht="15.75" customHeight="1" x14ac:dyDescent="0.25">
      <c r="P436" s="1"/>
      <c r="Q436" s="1"/>
      <c r="R436" s="1"/>
      <c r="S436" s="1"/>
      <c r="T436" s="1"/>
      <c r="U436" s="1"/>
      <c r="V436" s="1"/>
      <c r="W436" s="1"/>
      <c r="X436" s="1"/>
      <c r="Y436" s="1"/>
      <c r="AH436" s="1"/>
      <c r="AI436" s="1"/>
      <c r="AJ436" s="1"/>
      <c r="AK436" s="1"/>
      <c r="AL436" s="1"/>
      <c r="AM436" s="1"/>
      <c r="AN436" s="1"/>
    </row>
    <row r="437" spans="16:40" ht="15.75" customHeight="1" x14ac:dyDescent="0.25">
      <c r="P437" s="1"/>
      <c r="Q437" s="1"/>
      <c r="R437" s="1"/>
      <c r="S437" s="1"/>
      <c r="T437" s="1"/>
      <c r="U437" s="1"/>
      <c r="V437" s="1"/>
      <c r="W437" s="1"/>
      <c r="X437" s="1"/>
      <c r="Y437" s="1"/>
      <c r="AH437" s="1"/>
      <c r="AI437" s="1"/>
      <c r="AJ437" s="1"/>
      <c r="AK437" s="1"/>
      <c r="AL437" s="1"/>
      <c r="AM437" s="1"/>
      <c r="AN437" s="1"/>
    </row>
    <row r="438" spans="16:40" ht="15.75" customHeight="1" x14ac:dyDescent="0.25">
      <c r="P438" s="1"/>
      <c r="Q438" s="1"/>
      <c r="R438" s="1"/>
      <c r="S438" s="1"/>
      <c r="T438" s="1"/>
      <c r="U438" s="1"/>
      <c r="V438" s="1"/>
      <c r="W438" s="1"/>
      <c r="X438" s="1"/>
      <c r="Y438" s="1"/>
      <c r="AH438" s="1"/>
      <c r="AI438" s="1"/>
      <c r="AJ438" s="1"/>
      <c r="AK438" s="1"/>
      <c r="AL438" s="1"/>
      <c r="AM438" s="1"/>
      <c r="AN438" s="1"/>
    </row>
    <row r="439" spans="16:40" ht="15.75" customHeight="1" x14ac:dyDescent="0.25">
      <c r="P439" s="1"/>
      <c r="Q439" s="1"/>
      <c r="R439" s="1"/>
      <c r="S439" s="1"/>
      <c r="T439" s="1"/>
      <c r="U439" s="1"/>
      <c r="V439" s="1"/>
      <c r="W439" s="1"/>
      <c r="X439" s="1"/>
      <c r="Y439" s="1"/>
      <c r="AH439" s="1"/>
      <c r="AI439" s="1"/>
      <c r="AJ439" s="1"/>
      <c r="AK439" s="1"/>
      <c r="AL439" s="1"/>
      <c r="AM439" s="1"/>
      <c r="AN439" s="1"/>
    </row>
    <row r="440" spans="16:40" ht="15.75" customHeight="1" x14ac:dyDescent="0.25">
      <c r="P440" s="1"/>
      <c r="Q440" s="1"/>
      <c r="R440" s="1"/>
      <c r="S440" s="1"/>
      <c r="T440" s="1"/>
      <c r="U440" s="1"/>
      <c r="V440" s="1"/>
      <c r="W440" s="1"/>
      <c r="X440" s="1"/>
      <c r="Y440" s="1"/>
      <c r="AH440" s="1"/>
      <c r="AI440" s="1"/>
      <c r="AJ440" s="1"/>
      <c r="AK440" s="1"/>
      <c r="AL440" s="1"/>
      <c r="AM440" s="1"/>
      <c r="AN440" s="1"/>
    </row>
    <row r="441" spans="16:40" ht="15.75" customHeight="1" x14ac:dyDescent="0.25">
      <c r="P441" s="1"/>
      <c r="Q441" s="1"/>
      <c r="R441" s="1"/>
      <c r="S441" s="1"/>
      <c r="T441" s="1"/>
      <c r="U441" s="1"/>
      <c r="V441" s="1"/>
      <c r="W441" s="1"/>
      <c r="X441" s="1"/>
      <c r="Y441" s="1"/>
      <c r="AH441" s="1"/>
      <c r="AI441" s="1"/>
      <c r="AJ441" s="1"/>
      <c r="AK441" s="1"/>
      <c r="AL441" s="1"/>
      <c r="AM441" s="1"/>
      <c r="AN441" s="1"/>
    </row>
    <row r="442" spans="16:40" ht="15.75" customHeight="1" x14ac:dyDescent="0.25">
      <c r="P442" s="1"/>
      <c r="Q442" s="1"/>
      <c r="R442" s="1"/>
      <c r="S442" s="1"/>
      <c r="T442" s="1"/>
      <c r="U442" s="1"/>
      <c r="V442" s="1"/>
      <c r="W442" s="1"/>
      <c r="X442" s="1"/>
      <c r="Y442" s="1"/>
      <c r="AH442" s="1"/>
      <c r="AI442" s="1"/>
      <c r="AJ442" s="1"/>
      <c r="AK442" s="1"/>
      <c r="AL442" s="1"/>
      <c r="AM442" s="1"/>
      <c r="AN442" s="1"/>
    </row>
    <row r="443" spans="16:40" ht="15.75" customHeight="1" x14ac:dyDescent="0.25">
      <c r="P443" s="1"/>
      <c r="Q443" s="1"/>
      <c r="R443" s="1"/>
      <c r="S443" s="1"/>
      <c r="T443" s="1"/>
      <c r="U443" s="1"/>
      <c r="V443" s="1"/>
      <c r="W443" s="1"/>
      <c r="X443" s="1"/>
      <c r="Y443" s="1"/>
      <c r="AH443" s="1"/>
      <c r="AI443" s="1"/>
      <c r="AJ443" s="1"/>
      <c r="AK443" s="1"/>
      <c r="AL443" s="1"/>
      <c r="AM443" s="1"/>
      <c r="AN443" s="1"/>
    </row>
    <row r="444" spans="16:40" ht="15.75" customHeight="1" x14ac:dyDescent="0.25">
      <c r="P444" s="1"/>
      <c r="Q444" s="1"/>
      <c r="R444" s="1"/>
      <c r="S444" s="1"/>
      <c r="T444" s="1"/>
      <c r="U444" s="1"/>
      <c r="V444" s="1"/>
      <c r="W444" s="1"/>
      <c r="X444" s="1"/>
      <c r="Y444" s="1"/>
      <c r="AH444" s="1"/>
      <c r="AI444" s="1"/>
      <c r="AJ444" s="1"/>
      <c r="AK444" s="1"/>
      <c r="AL444" s="1"/>
      <c r="AM444" s="1"/>
      <c r="AN444" s="1"/>
    </row>
    <row r="445" spans="16:40" ht="15.75" customHeight="1" x14ac:dyDescent="0.25">
      <c r="P445" s="1"/>
      <c r="Q445" s="1"/>
      <c r="R445" s="1"/>
      <c r="S445" s="1"/>
      <c r="T445" s="1"/>
      <c r="U445" s="1"/>
      <c r="V445" s="1"/>
      <c r="W445" s="1"/>
      <c r="X445" s="1"/>
      <c r="Y445" s="1"/>
      <c r="AH445" s="1"/>
      <c r="AI445" s="1"/>
      <c r="AJ445" s="1"/>
      <c r="AK445" s="1"/>
      <c r="AL445" s="1"/>
      <c r="AM445" s="1"/>
      <c r="AN445" s="1"/>
    </row>
    <row r="446" spans="16:40" ht="15.75" customHeight="1" x14ac:dyDescent="0.25">
      <c r="P446" s="1"/>
      <c r="Q446" s="1"/>
      <c r="R446" s="1"/>
      <c r="S446" s="1"/>
      <c r="T446" s="1"/>
      <c r="U446" s="1"/>
      <c r="V446" s="1"/>
      <c r="W446" s="1"/>
      <c r="X446" s="1"/>
      <c r="Y446" s="1"/>
      <c r="AH446" s="1"/>
      <c r="AI446" s="1"/>
      <c r="AJ446" s="1"/>
      <c r="AK446" s="1"/>
      <c r="AL446" s="1"/>
      <c r="AM446" s="1"/>
      <c r="AN446" s="1"/>
    </row>
    <row r="447" spans="16:40" ht="15.75" customHeight="1" x14ac:dyDescent="0.25">
      <c r="P447" s="1"/>
      <c r="Q447" s="1"/>
      <c r="R447" s="1"/>
      <c r="S447" s="1"/>
      <c r="T447" s="1"/>
      <c r="U447" s="1"/>
      <c r="V447" s="1"/>
      <c r="W447" s="1"/>
      <c r="X447" s="1"/>
      <c r="Y447" s="1"/>
      <c r="AH447" s="1"/>
      <c r="AI447" s="1"/>
      <c r="AJ447" s="1"/>
      <c r="AK447" s="1"/>
      <c r="AL447" s="1"/>
      <c r="AM447" s="1"/>
      <c r="AN447" s="1"/>
    </row>
    <row r="448" spans="16:40" ht="15.75" customHeight="1" x14ac:dyDescent="0.25">
      <c r="P448" s="1"/>
      <c r="Q448" s="1"/>
      <c r="R448" s="1"/>
      <c r="S448" s="1"/>
      <c r="T448" s="1"/>
      <c r="U448" s="1"/>
      <c r="V448" s="1"/>
      <c r="W448" s="1"/>
      <c r="X448" s="1"/>
      <c r="Y448" s="1"/>
      <c r="AH448" s="1"/>
      <c r="AI448" s="1"/>
      <c r="AJ448" s="1"/>
      <c r="AK448" s="1"/>
      <c r="AL448" s="1"/>
      <c r="AM448" s="1"/>
      <c r="AN448" s="1"/>
    </row>
    <row r="449" spans="16:40" ht="15.75" customHeight="1" x14ac:dyDescent="0.25">
      <c r="P449" s="1"/>
      <c r="Q449" s="1"/>
      <c r="R449" s="1"/>
      <c r="S449" s="1"/>
      <c r="T449" s="1"/>
      <c r="U449" s="1"/>
      <c r="V449" s="1"/>
      <c r="W449" s="1"/>
      <c r="X449" s="1"/>
      <c r="Y449" s="1"/>
      <c r="AH449" s="1"/>
      <c r="AI449" s="1"/>
      <c r="AJ449" s="1"/>
      <c r="AK449" s="1"/>
      <c r="AL449" s="1"/>
      <c r="AM449" s="1"/>
      <c r="AN449" s="1"/>
    </row>
    <row r="450" spans="16:40" ht="15.75" customHeight="1" x14ac:dyDescent="0.25">
      <c r="P450" s="1"/>
      <c r="Q450" s="1"/>
      <c r="R450" s="1"/>
      <c r="S450" s="1"/>
      <c r="T450" s="1"/>
      <c r="U450" s="1"/>
      <c r="V450" s="1"/>
      <c r="W450" s="1"/>
      <c r="X450" s="1"/>
      <c r="Y450" s="1"/>
      <c r="AH450" s="1"/>
      <c r="AI450" s="1"/>
      <c r="AJ450" s="1"/>
      <c r="AK450" s="1"/>
      <c r="AL450" s="1"/>
      <c r="AM450" s="1"/>
      <c r="AN450" s="1"/>
    </row>
    <row r="451" spans="16:40" ht="15.75" customHeight="1" x14ac:dyDescent="0.25">
      <c r="P451" s="1"/>
      <c r="Q451" s="1"/>
      <c r="R451" s="1"/>
      <c r="S451" s="1"/>
      <c r="T451" s="1"/>
      <c r="U451" s="1"/>
      <c r="V451" s="1"/>
      <c r="W451" s="1"/>
      <c r="X451" s="1"/>
      <c r="Y451" s="1"/>
      <c r="AH451" s="1"/>
      <c r="AI451" s="1"/>
      <c r="AJ451" s="1"/>
      <c r="AK451" s="1"/>
      <c r="AL451" s="1"/>
      <c r="AM451" s="1"/>
      <c r="AN451" s="1"/>
    </row>
    <row r="452" spans="16:40" ht="15.75" customHeight="1" x14ac:dyDescent="0.25">
      <c r="P452" s="1"/>
      <c r="Q452" s="1"/>
      <c r="R452" s="1"/>
      <c r="S452" s="1"/>
      <c r="T452" s="1"/>
      <c r="U452" s="1"/>
      <c r="V452" s="1"/>
      <c r="W452" s="1"/>
      <c r="X452" s="1"/>
      <c r="Y452" s="1"/>
      <c r="AH452" s="1"/>
      <c r="AI452" s="1"/>
      <c r="AJ452" s="1"/>
      <c r="AK452" s="1"/>
      <c r="AL452" s="1"/>
      <c r="AM452" s="1"/>
      <c r="AN452" s="1"/>
    </row>
    <row r="453" spans="16:40" ht="15.75" customHeight="1" x14ac:dyDescent="0.25">
      <c r="P453" s="1"/>
      <c r="Q453" s="1"/>
      <c r="R453" s="1"/>
      <c r="S453" s="1"/>
      <c r="T453" s="1"/>
      <c r="U453" s="1"/>
      <c r="V453" s="1"/>
      <c r="W453" s="1"/>
      <c r="X453" s="1"/>
      <c r="Y453" s="1"/>
      <c r="AH453" s="1"/>
      <c r="AI453" s="1"/>
      <c r="AJ453" s="1"/>
      <c r="AK453" s="1"/>
      <c r="AL453" s="1"/>
      <c r="AM453" s="1"/>
      <c r="AN453" s="1"/>
    </row>
    <row r="454" spans="16:40" ht="15.75" customHeight="1" x14ac:dyDescent="0.25">
      <c r="P454" s="1"/>
      <c r="Q454" s="1"/>
      <c r="R454" s="1"/>
      <c r="S454" s="1"/>
      <c r="T454" s="1"/>
      <c r="U454" s="1"/>
      <c r="V454" s="1"/>
      <c r="W454" s="1"/>
      <c r="X454" s="1"/>
      <c r="Y454" s="1"/>
      <c r="AH454" s="1"/>
      <c r="AI454" s="1"/>
      <c r="AJ454" s="1"/>
      <c r="AK454" s="1"/>
      <c r="AL454" s="1"/>
      <c r="AM454" s="1"/>
      <c r="AN454" s="1"/>
    </row>
    <row r="455" spans="16:40" ht="15.75" customHeight="1" x14ac:dyDescent="0.25">
      <c r="P455" s="1"/>
      <c r="Q455" s="1"/>
      <c r="R455" s="1"/>
      <c r="S455" s="1"/>
      <c r="T455" s="1"/>
      <c r="U455" s="1"/>
      <c r="V455" s="1"/>
      <c r="W455" s="1"/>
      <c r="X455" s="1"/>
      <c r="Y455" s="1"/>
      <c r="AH455" s="1"/>
      <c r="AI455" s="1"/>
      <c r="AJ455" s="1"/>
      <c r="AK455" s="1"/>
      <c r="AL455" s="1"/>
      <c r="AM455" s="1"/>
      <c r="AN455" s="1"/>
    </row>
    <row r="456" spans="16:40" ht="15.75" customHeight="1" x14ac:dyDescent="0.25">
      <c r="P456" s="1"/>
      <c r="Q456" s="1"/>
      <c r="R456" s="1"/>
      <c r="S456" s="1"/>
      <c r="T456" s="1"/>
      <c r="U456" s="1"/>
      <c r="V456" s="1"/>
      <c r="W456" s="1"/>
      <c r="X456" s="1"/>
      <c r="Y456" s="1"/>
      <c r="AH456" s="1"/>
      <c r="AI456" s="1"/>
      <c r="AJ456" s="1"/>
      <c r="AK456" s="1"/>
      <c r="AL456" s="1"/>
      <c r="AM456" s="1"/>
      <c r="AN456" s="1"/>
    </row>
    <row r="457" spans="16:40" ht="15.75" customHeight="1" x14ac:dyDescent="0.25">
      <c r="P457" s="1"/>
      <c r="Q457" s="1"/>
      <c r="R457" s="1"/>
      <c r="S457" s="1"/>
      <c r="T457" s="1"/>
      <c r="U457" s="1"/>
      <c r="V457" s="1"/>
      <c r="W457" s="1"/>
      <c r="X457" s="1"/>
      <c r="Y457" s="1"/>
      <c r="AH457" s="1"/>
      <c r="AI457" s="1"/>
      <c r="AJ457" s="1"/>
      <c r="AK457" s="1"/>
      <c r="AL457" s="1"/>
      <c r="AM457" s="1"/>
      <c r="AN457" s="1"/>
    </row>
    <row r="458" spans="16:40" ht="15.75" customHeight="1" x14ac:dyDescent="0.25">
      <c r="P458" s="1"/>
      <c r="Q458" s="1"/>
      <c r="R458" s="1"/>
      <c r="S458" s="1"/>
      <c r="T458" s="1"/>
      <c r="U458" s="1"/>
      <c r="V458" s="1"/>
      <c r="W458" s="1"/>
      <c r="X458" s="1"/>
      <c r="Y458" s="1"/>
      <c r="AH458" s="1"/>
      <c r="AI458" s="1"/>
      <c r="AJ458" s="1"/>
      <c r="AK458" s="1"/>
      <c r="AL458" s="1"/>
      <c r="AM458" s="1"/>
      <c r="AN458" s="1"/>
    </row>
    <row r="459" spans="16:40" ht="15.75" customHeight="1" x14ac:dyDescent="0.25">
      <c r="P459" s="1"/>
      <c r="Q459" s="1"/>
      <c r="R459" s="1"/>
      <c r="S459" s="1"/>
      <c r="T459" s="1"/>
      <c r="U459" s="1"/>
      <c r="V459" s="1"/>
      <c r="W459" s="1"/>
      <c r="X459" s="1"/>
      <c r="Y459" s="1"/>
      <c r="AH459" s="1"/>
      <c r="AI459" s="1"/>
      <c r="AJ459" s="1"/>
      <c r="AK459" s="1"/>
      <c r="AL459" s="1"/>
      <c r="AM459" s="1"/>
      <c r="AN459" s="1"/>
    </row>
    <row r="460" spans="16:40" ht="15.75" customHeight="1" x14ac:dyDescent="0.25">
      <c r="P460" s="1"/>
      <c r="Q460" s="1"/>
      <c r="R460" s="1"/>
      <c r="S460" s="1"/>
      <c r="T460" s="1"/>
      <c r="U460" s="1"/>
      <c r="V460" s="1"/>
      <c r="W460" s="1"/>
      <c r="X460" s="1"/>
      <c r="Y460" s="1"/>
      <c r="AH460" s="1"/>
      <c r="AI460" s="1"/>
      <c r="AJ460" s="1"/>
      <c r="AK460" s="1"/>
      <c r="AL460" s="1"/>
      <c r="AM460" s="1"/>
      <c r="AN460" s="1"/>
    </row>
    <row r="461" spans="16:40" ht="15.75" customHeight="1" x14ac:dyDescent="0.25">
      <c r="P461" s="1"/>
      <c r="Q461" s="1"/>
      <c r="R461" s="1"/>
      <c r="S461" s="1"/>
      <c r="T461" s="1"/>
      <c r="U461" s="1"/>
      <c r="V461" s="1"/>
      <c r="W461" s="1"/>
      <c r="X461" s="1"/>
      <c r="Y461" s="1"/>
      <c r="AH461" s="1"/>
      <c r="AI461" s="1"/>
      <c r="AJ461" s="1"/>
      <c r="AK461" s="1"/>
      <c r="AL461" s="1"/>
      <c r="AM461" s="1"/>
      <c r="AN461" s="1"/>
    </row>
    <row r="462" spans="16:40" ht="15.75" customHeight="1" x14ac:dyDescent="0.25">
      <c r="P462" s="1"/>
      <c r="Q462" s="1"/>
      <c r="R462" s="1"/>
      <c r="S462" s="1"/>
      <c r="T462" s="1"/>
      <c r="U462" s="1"/>
      <c r="V462" s="1"/>
      <c r="W462" s="1"/>
      <c r="X462" s="1"/>
      <c r="Y462" s="1"/>
      <c r="AH462" s="1"/>
      <c r="AI462" s="1"/>
      <c r="AJ462" s="1"/>
      <c r="AK462" s="1"/>
      <c r="AL462" s="1"/>
      <c r="AM462" s="1"/>
      <c r="AN462" s="1"/>
    </row>
    <row r="463" spans="16:40" ht="15.75" customHeight="1" x14ac:dyDescent="0.25">
      <c r="P463" s="1"/>
      <c r="Q463" s="1"/>
      <c r="R463" s="1"/>
      <c r="S463" s="1"/>
      <c r="T463" s="1"/>
      <c r="U463" s="1"/>
      <c r="V463" s="1"/>
      <c r="W463" s="1"/>
      <c r="X463" s="1"/>
      <c r="Y463" s="1"/>
      <c r="AH463" s="1"/>
      <c r="AI463" s="1"/>
      <c r="AJ463" s="1"/>
      <c r="AK463" s="1"/>
      <c r="AL463" s="1"/>
      <c r="AM463" s="1"/>
      <c r="AN463" s="1"/>
    </row>
    <row r="464" spans="16:40" ht="15.75" customHeight="1" x14ac:dyDescent="0.25">
      <c r="P464" s="1"/>
      <c r="Q464" s="1"/>
      <c r="R464" s="1"/>
      <c r="S464" s="1"/>
      <c r="T464" s="1"/>
      <c r="U464" s="1"/>
      <c r="V464" s="1"/>
      <c r="W464" s="1"/>
      <c r="X464" s="1"/>
      <c r="Y464" s="1"/>
      <c r="AH464" s="1"/>
      <c r="AI464" s="1"/>
      <c r="AJ464" s="1"/>
      <c r="AK464" s="1"/>
      <c r="AL464" s="1"/>
      <c r="AM464" s="1"/>
      <c r="AN464" s="1"/>
    </row>
    <row r="465" spans="16:40" ht="15.75" customHeight="1" x14ac:dyDescent="0.25">
      <c r="P465" s="1"/>
      <c r="Q465" s="1"/>
      <c r="R465" s="1"/>
      <c r="S465" s="1"/>
      <c r="T465" s="1"/>
      <c r="U465" s="1"/>
      <c r="V465" s="1"/>
      <c r="W465" s="1"/>
      <c r="X465" s="1"/>
      <c r="Y465" s="1"/>
      <c r="AH465" s="1"/>
      <c r="AI465" s="1"/>
      <c r="AJ465" s="1"/>
      <c r="AK465" s="1"/>
      <c r="AL465" s="1"/>
      <c r="AM465" s="1"/>
      <c r="AN465" s="1"/>
    </row>
    <row r="466" spans="16:40" ht="15.75" customHeight="1" x14ac:dyDescent="0.25">
      <c r="P466" s="1"/>
      <c r="Q466" s="1"/>
      <c r="R466" s="1"/>
      <c r="S466" s="1"/>
      <c r="T466" s="1"/>
      <c r="U466" s="1"/>
      <c r="V466" s="1"/>
      <c r="W466" s="1"/>
      <c r="X466" s="1"/>
      <c r="Y466" s="1"/>
      <c r="AH466" s="1"/>
      <c r="AI466" s="1"/>
      <c r="AJ466" s="1"/>
      <c r="AK466" s="1"/>
      <c r="AL466" s="1"/>
      <c r="AM466" s="1"/>
      <c r="AN466" s="1"/>
    </row>
    <row r="467" spans="16:40" ht="15.75" customHeight="1" x14ac:dyDescent="0.25">
      <c r="P467" s="1"/>
      <c r="Q467" s="1"/>
      <c r="R467" s="1"/>
      <c r="S467" s="1"/>
      <c r="T467" s="1"/>
      <c r="U467" s="1"/>
      <c r="V467" s="1"/>
      <c r="W467" s="1"/>
      <c r="X467" s="1"/>
      <c r="Y467" s="1"/>
      <c r="AH467" s="1"/>
      <c r="AI467" s="1"/>
      <c r="AJ467" s="1"/>
      <c r="AK467" s="1"/>
      <c r="AL467" s="1"/>
      <c r="AM467" s="1"/>
      <c r="AN467" s="1"/>
    </row>
    <row r="468" spans="16:40" ht="15.75" customHeight="1" x14ac:dyDescent="0.25">
      <c r="P468" s="1"/>
      <c r="Q468" s="1"/>
      <c r="R468" s="1"/>
      <c r="S468" s="1"/>
      <c r="T468" s="1"/>
      <c r="U468" s="1"/>
      <c r="V468" s="1"/>
      <c r="W468" s="1"/>
      <c r="X468" s="1"/>
      <c r="Y468" s="1"/>
      <c r="AH468" s="1"/>
      <c r="AI468" s="1"/>
      <c r="AJ468" s="1"/>
      <c r="AK468" s="1"/>
      <c r="AL468" s="1"/>
      <c r="AM468" s="1"/>
      <c r="AN468" s="1"/>
    </row>
    <row r="469" spans="16:40" ht="15.75" customHeight="1" x14ac:dyDescent="0.25">
      <c r="P469" s="1"/>
      <c r="Q469" s="1"/>
      <c r="R469" s="1"/>
      <c r="S469" s="1"/>
      <c r="T469" s="1"/>
      <c r="U469" s="1"/>
      <c r="V469" s="1"/>
      <c r="W469" s="1"/>
      <c r="X469" s="1"/>
      <c r="Y469" s="1"/>
      <c r="AH469" s="1"/>
      <c r="AI469" s="1"/>
      <c r="AJ469" s="1"/>
      <c r="AK469" s="1"/>
      <c r="AL469" s="1"/>
      <c r="AM469" s="1"/>
      <c r="AN469" s="1"/>
    </row>
    <row r="470" spans="16:40" ht="15.75" customHeight="1" x14ac:dyDescent="0.25">
      <c r="P470" s="1"/>
      <c r="Q470" s="1"/>
      <c r="R470" s="1"/>
      <c r="S470" s="1"/>
      <c r="T470" s="1"/>
      <c r="U470" s="1"/>
      <c r="V470" s="1"/>
      <c r="W470" s="1"/>
      <c r="X470" s="1"/>
      <c r="Y470" s="1"/>
      <c r="AH470" s="1"/>
      <c r="AI470" s="1"/>
      <c r="AJ470" s="1"/>
      <c r="AK470" s="1"/>
      <c r="AL470" s="1"/>
      <c r="AM470" s="1"/>
      <c r="AN470" s="1"/>
    </row>
    <row r="471" spans="16:40" ht="15.75" customHeight="1" x14ac:dyDescent="0.25">
      <c r="P471" s="1"/>
      <c r="Q471" s="1"/>
      <c r="R471" s="1"/>
      <c r="S471" s="1"/>
      <c r="T471" s="1"/>
      <c r="U471" s="1"/>
      <c r="V471" s="1"/>
      <c r="W471" s="1"/>
      <c r="X471" s="1"/>
      <c r="Y471" s="1"/>
      <c r="AH471" s="1"/>
      <c r="AI471" s="1"/>
      <c r="AJ471" s="1"/>
      <c r="AK471" s="1"/>
      <c r="AL471" s="1"/>
      <c r="AM471" s="1"/>
      <c r="AN471" s="1"/>
    </row>
    <row r="472" spans="16:40" ht="15.75" customHeight="1" x14ac:dyDescent="0.25">
      <c r="P472" s="1"/>
      <c r="Q472" s="1"/>
      <c r="R472" s="1"/>
      <c r="S472" s="1"/>
      <c r="T472" s="1"/>
      <c r="U472" s="1"/>
      <c r="V472" s="1"/>
      <c r="W472" s="1"/>
      <c r="X472" s="1"/>
      <c r="Y472" s="1"/>
      <c r="AH472" s="1"/>
      <c r="AI472" s="1"/>
      <c r="AJ472" s="1"/>
      <c r="AK472" s="1"/>
      <c r="AL472" s="1"/>
      <c r="AM472" s="1"/>
      <c r="AN472" s="1"/>
    </row>
    <row r="473" spans="16:40" ht="15.75" customHeight="1" x14ac:dyDescent="0.25">
      <c r="P473" s="1"/>
      <c r="Q473" s="1"/>
      <c r="R473" s="1"/>
      <c r="S473" s="1"/>
      <c r="T473" s="1"/>
      <c r="U473" s="1"/>
      <c r="V473" s="1"/>
      <c r="W473" s="1"/>
      <c r="X473" s="1"/>
      <c r="Y473" s="1"/>
      <c r="AH473" s="1"/>
      <c r="AI473" s="1"/>
      <c r="AJ473" s="1"/>
      <c r="AK473" s="1"/>
      <c r="AL473" s="1"/>
      <c r="AM473" s="1"/>
      <c r="AN473" s="1"/>
    </row>
    <row r="474" spans="16:40" ht="15.75" customHeight="1" x14ac:dyDescent="0.25">
      <c r="P474" s="1"/>
      <c r="Q474" s="1"/>
      <c r="R474" s="1"/>
      <c r="S474" s="1"/>
      <c r="T474" s="1"/>
      <c r="U474" s="1"/>
      <c r="V474" s="1"/>
      <c r="W474" s="1"/>
      <c r="X474" s="1"/>
      <c r="Y474" s="1"/>
      <c r="AH474" s="1"/>
      <c r="AI474" s="1"/>
      <c r="AJ474" s="1"/>
      <c r="AK474" s="1"/>
      <c r="AL474" s="1"/>
      <c r="AM474" s="1"/>
      <c r="AN474" s="1"/>
    </row>
    <row r="475" spans="16:40" ht="15.75" customHeight="1" x14ac:dyDescent="0.25">
      <c r="P475" s="1"/>
      <c r="Q475" s="1"/>
      <c r="R475" s="1"/>
      <c r="S475" s="1"/>
      <c r="T475" s="1"/>
      <c r="U475" s="1"/>
      <c r="V475" s="1"/>
      <c r="W475" s="1"/>
      <c r="X475" s="1"/>
      <c r="Y475" s="1"/>
      <c r="AH475" s="1"/>
      <c r="AI475" s="1"/>
      <c r="AJ475" s="1"/>
      <c r="AK475" s="1"/>
      <c r="AL475" s="1"/>
      <c r="AM475" s="1"/>
      <c r="AN475" s="1"/>
    </row>
    <row r="476" spans="16:40" ht="15.75" customHeight="1" x14ac:dyDescent="0.25">
      <c r="P476" s="1"/>
      <c r="Q476" s="1"/>
      <c r="R476" s="1"/>
      <c r="S476" s="1"/>
      <c r="T476" s="1"/>
      <c r="U476" s="1"/>
      <c r="V476" s="1"/>
      <c r="W476" s="1"/>
      <c r="X476" s="1"/>
      <c r="Y476" s="1"/>
      <c r="AH476" s="1"/>
      <c r="AI476" s="1"/>
      <c r="AJ476" s="1"/>
      <c r="AK476" s="1"/>
      <c r="AL476" s="1"/>
      <c r="AM476" s="1"/>
      <c r="AN476" s="1"/>
    </row>
    <row r="477" spans="16:40" ht="15.75" customHeight="1" x14ac:dyDescent="0.25">
      <c r="P477" s="1"/>
      <c r="Q477" s="1"/>
      <c r="R477" s="1"/>
      <c r="S477" s="1"/>
      <c r="T477" s="1"/>
      <c r="U477" s="1"/>
      <c r="V477" s="1"/>
      <c r="W477" s="1"/>
      <c r="X477" s="1"/>
      <c r="Y477" s="1"/>
      <c r="AH477" s="1"/>
      <c r="AI477" s="1"/>
      <c r="AJ477" s="1"/>
      <c r="AK477" s="1"/>
      <c r="AL477" s="1"/>
      <c r="AM477" s="1"/>
      <c r="AN477" s="1"/>
    </row>
    <row r="478" spans="16:40" ht="15.75" customHeight="1" x14ac:dyDescent="0.25">
      <c r="P478" s="1"/>
      <c r="Q478" s="1"/>
      <c r="R478" s="1"/>
      <c r="S478" s="1"/>
      <c r="T478" s="1"/>
      <c r="U478" s="1"/>
      <c r="V478" s="1"/>
      <c r="W478" s="1"/>
      <c r="X478" s="1"/>
      <c r="Y478" s="1"/>
      <c r="AH478" s="1"/>
      <c r="AI478" s="1"/>
      <c r="AJ478" s="1"/>
      <c r="AK478" s="1"/>
      <c r="AL478" s="1"/>
      <c r="AM478" s="1"/>
      <c r="AN478" s="1"/>
    </row>
    <row r="479" spans="16:40" ht="15.75" customHeight="1" x14ac:dyDescent="0.25">
      <c r="P479" s="1"/>
      <c r="Q479" s="1"/>
      <c r="R479" s="1"/>
      <c r="S479" s="1"/>
      <c r="T479" s="1"/>
      <c r="U479" s="1"/>
      <c r="V479" s="1"/>
      <c r="W479" s="1"/>
      <c r="X479" s="1"/>
      <c r="Y479" s="1"/>
      <c r="AH479" s="1"/>
      <c r="AI479" s="1"/>
      <c r="AJ479" s="1"/>
      <c r="AK479" s="1"/>
      <c r="AL479" s="1"/>
      <c r="AM479" s="1"/>
      <c r="AN479" s="1"/>
    </row>
    <row r="480" spans="16:40" ht="15.75" customHeight="1" x14ac:dyDescent="0.25">
      <c r="P480" s="1"/>
      <c r="Q480" s="1"/>
      <c r="R480" s="1"/>
      <c r="S480" s="1"/>
      <c r="T480" s="1"/>
      <c r="U480" s="1"/>
      <c r="V480" s="1"/>
      <c r="W480" s="1"/>
      <c r="X480" s="1"/>
      <c r="Y480" s="1"/>
      <c r="AH480" s="1"/>
      <c r="AI480" s="1"/>
      <c r="AJ480" s="1"/>
      <c r="AK480" s="1"/>
      <c r="AL480" s="1"/>
      <c r="AM480" s="1"/>
      <c r="AN480" s="1"/>
    </row>
    <row r="481" spans="16:40" ht="15.75" customHeight="1" x14ac:dyDescent="0.25">
      <c r="P481" s="1"/>
      <c r="Q481" s="1"/>
      <c r="R481" s="1"/>
      <c r="S481" s="1"/>
      <c r="T481" s="1"/>
      <c r="U481" s="1"/>
      <c r="V481" s="1"/>
      <c r="W481" s="1"/>
      <c r="X481" s="1"/>
      <c r="Y481" s="1"/>
      <c r="AH481" s="1"/>
      <c r="AI481" s="1"/>
      <c r="AJ481" s="1"/>
      <c r="AK481" s="1"/>
      <c r="AL481" s="1"/>
      <c r="AM481" s="1"/>
      <c r="AN481" s="1"/>
    </row>
    <row r="482" spans="16:40" ht="15.75" customHeight="1" x14ac:dyDescent="0.25">
      <c r="P482" s="1"/>
      <c r="Q482" s="1"/>
      <c r="R482" s="1"/>
      <c r="S482" s="1"/>
      <c r="T482" s="1"/>
      <c r="U482" s="1"/>
      <c r="V482" s="1"/>
      <c r="W482" s="1"/>
      <c r="X482" s="1"/>
      <c r="Y482" s="1"/>
      <c r="AH482" s="1"/>
      <c r="AI482" s="1"/>
      <c r="AJ482" s="1"/>
      <c r="AK482" s="1"/>
      <c r="AL482" s="1"/>
      <c r="AM482" s="1"/>
      <c r="AN482" s="1"/>
    </row>
    <row r="483" spans="16:40" ht="15.75" customHeight="1" x14ac:dyDescent="0.25">
      <c r="P483" s="1"/>
      <c r="Q483" s="1"/>
      <c r="R483" s="1"/>
      <c r="S483" s="1"/>
      <c r="T483" s="1"/>
      <c r="U483" s="1"/>
      <c r="V483" s="1"/>
      <c r="W483" s="1"/>
      <c r="X483" s="1"/>
      <c r="Y483" s="1"/>
      <c r="AH483" s="1"/>
      <c r="AI483" s="1"/>
      <c r="AJ483" s="1"/>
      <c r="AK483" s="1"/>
      <c r="AL483" s="1"/>
      <c r="AM483" s="1"/>
      <c r="AN483" s="1"/>
    </row>
    <row r="484" spans="16:40" ht="15.75" customHeight="1" x14ac:dyDescent="0.25">
      <c r="P484" s="1"/>
      <c r="Q484" s="1"/>
      <c r="R484" s="1"/>
      <c r="S484" s="1"/>
      <c r="T484" s="1"/>
      <c r="U484" s="1"/>
      <c r="V484" s="1"/>
      <c r="W484" s="1"/>
      <c r="X484" s="1"/>
      <c r="Y484" s="1"/>
      <c r="AH484" s="1"/>
      <c r="AI484" s="1"/>
      <c r="AJ484" s="1"/>
      <c r="AK484" s="1"/>
      <c r="AL484" s="1"/>
      <c r="AM484" s="1"/>
      <c r="AN484" s="1"/>
    </row>
    <row r="485" spans="16:40" ht="15.75" customHeight="1" x14ac:dyDescent="0.25">
      <c r="P485" s="1"/>
      <c r="Q485" s="1"/>
      <c r="R485" s="1"/>
      <c r="S485" s="1"/>
      <c r="T485" s="1"/>
      <c r="U485" s="1"/>
      <c r="V485" s="1"/>
      <c r="W485" s="1"/>
      <c r="X485" s="1"/>
      <c r="Y485" s="1"/>
      <c r="AH485" s="1"/>
      <c r="AI485" s="1"/>
      <c r="AJ485" s="1"/>
      <c r="AK485" s="1"/>
      <c r="AL485" s="1"/>
      <c r="AM485" s="1"/>
      <c r="AN485" s="1"/>
    </row>
    <row r="486" spans="16:40" ht="15.75" customHeight="1" x14ac:dyDescent="0.25">
      <c r="P486" s="1"/>
      <c r="Q486" s="1"/>
      <c r="R486" s="1"/>
      <c r="S486" s="1"/>
      <c r="T486" s="1"/>
      <c r="U486" s="1"/>
      <c r="V486" s="1"/>
      <c r="W486" s="1"/>
      <c r="X486" s="1"/>
      <c r="Y486" s="1"/>
      <c r="AH486" s="1"/>
      <c r="AI486" s="1"/>
      <c r="AJ486" s="1"/>
      <c r="AK486" s="1"/>
      <c r="AL486" s="1"/>
      <c r="AM486" s="1"/>
      <c r="AN486" s="1"/>
    </row>
    <row r="487" spans="16:40" ht="15.75" customHeight="1" x14ac:dyDescent="0.25">
      <c r="P487" s="1"/>
      <c r="Q487" s="1"/>
      <c r="R487" s="1"/>
      <c r="S487" s="1"/>
      <c r="T487" s="1"/>
      <c r="U487" s="1"/>
      <c r="V487" s="1"/>
      <c r="W487" s="1"/>
      <c r="X487" s="1"/>
      <c r="Y487" s="1"/>
      <c r="AH487" s="1"/>
      <c r="AI487" s="1"/>
      <c r="AJ487" s="1"/>
      <c r="AK487" s="1"/>
      <c r="AL487" s="1"/>
      <c r="AM487" s="1"/>
      <c r="AN487" s="1"/>
    </row>
    <row r="488" spans="16:40" ht="15.75" customHeight="1" x14ac:dyDescent="0.25">
      <c r="P488" s="1"/>
      <c r="Q488" s="1"/>
      <c r="R488" s="1"/>
      <c r="S488" s="1"/>
      <c r="T488" s="1"/>
      <c r="U488" s="1"/>
      <c r="V488" s="1"/>
      <c r="W488" s="1"/>
      <c r="X488" s="1"/>
      <c r="Y488" s="1"/>
      <c r="AH488" s="1"/>
      <c r="AI488" s="1"/>
      <c r="AJ488" s="1"/>
      <c r="AK488" s="1"/>
      <c r="AL488" s="1"/>
      <c r="AM488" s="1"/>
      <c r="AN488" s="1"/>
    </row>
    <row r="489" spans="16:40" ht="15.75" customHeight="1" x14ac:dyDescent="0.25">
      <c r="P489" s="1"/>
      <c r="Q489" s="1"/>
      <c r="R489" s="1"/>
      <c r="S489" s="1"/>
      <c r="T489" s="1"/>
      <c r="U489" s="1"/>
      <c r="V489" s="1"/>
      <c r="W489" s="1"/>
      <c r="X489" s="1"/>
      <c r="Y489" s="1"/>
      <c r="AH489" s="1"/>
      <c r="AI489" s="1"/>
      <c r="AJ489" s="1"/>
      <c r="AK489" s="1"/>
      <c r="AL489" s="1"/>
      <c r="AM489" s="1"/>
      <c r="AN489" s="1"/>
    </row>
    <row r="490" spans="16:40" ht="15.75" customHeight="1" x14ac:dyDescent="0.25">
      <c r="P490" s="1"/>
      <c r="Q490" s="1"/>
      <c r="R490" s="1"/>
      <c r="S490" s="1"/>
      <c r="T490" s="1"/>
      <c r="U490" s="1"/>
      <c r="V490" s="1"/>
      <c r="W490" s="1"/>
      <c r="X490" s="1"/>
      <c r="Y490" s="1"/>
      <c r="AH490" s="1"/>
      <c r="AI490" s="1"/>
      <c r="AJ490" s="1"/>
      <c r="AK490" s="1"/>
      <c r="AL490" s="1"/>
      <c r="AM490" s="1"/>
      <c r="AN490" s="1"/>
    </row>
    <row r="491" spans="16:40" ht="15.75" customHeight="1" x14ac:dyDescent="0.25">
      <c r="P491" s="1"/>
      <c r="Q491" s="1"/>
      <c r="R491" s="1"/>
      <c r="S491" s="1"/>
      <c r="T491" s="1"/>
      <c r="U491" s="1"/>
      <c r="V491" s="1"/>
      <c r="W491" s="1"/>
      <c r="X491" s="1"/>
      <c r="Y491" s="1"/>
      <c r="AH491" s="1"/>
      <c r="AI491" s="1"/>
      <c r="AJ491" s="1"/>
      <c r="AK491" s="1"/>
      <c r="AL491" s="1"/>
      <c r="AM491" s="1"/>
      <c r="AN491" s="1"/>
    </row>
    <row r="492" spans="16:40" ht="15.75" customHeight="1" x14ac:dyDescent="0.25">
      <c r="P492" s="1"/>
      <c r="Q492" s="1"/>
      <c r="R492" s="1"/>
      <c r="S492" s="1"/>
      <c r="T492" s="1"/>
      <c r="U492" s="1"/>
      <c r="V492" s="1"/>
      <c r="W492" s="1"/>
      <c r="X492" s="1"/>
      <c r="Y492" s="1"/>
      <c r="AH492" s="1"/>
      <c r="AI492" s="1"/>
      <c r="AJ492" s="1"/>
      <c r="AK492" s="1"/>
      <c r="AL492" s="1"/>
      <c r="AM492" s="1"/>
      <c r="AN492" s="1"/>
    </row>
    <row r="493" spans="16:40" ht="15.75" customHeight="1" x14ac:dyDescent="0.25">
      <c r="P493" s="1"/>
      <c r="Q493" s="1"/>
      <c r="R493" s="1"/>
      <c r="S493" s="1"/>
      <c r="T493" s="1"/>
      <c r="U493" s="1"/>
      <c r="V493" s="1"/>
      <c r="W493" s="1"/>
      <c r="X493" s="1"/>
      <c r="Y493" s="1"/>
      <c r="AH493" s="1"/>
      <c r="AI493" s="1"/>
      <c r="AJ493" s="1"/>
      <c r="AK493" s="1"/>
      <c r="AL493" s="1"/>
      <c r="AM493" s="1"/>
      <c r="AN493" s="1"/>
    </row>
    <row r="494" spans="16:40" ht="15.75" customHeight="1" x14ac:dyDescent="0.25">
      <c r="P494" s="1"/>
      <c r="Q494" s="1"/>
      <c r="R494" s="1"/>
      <c r="S494" s="1"/>
      <c r="T494" s="1"/>
      <c r="U494" s="1"/>
      <c r="V494" s="1"/>
      <c r="W494" s="1"/>
      <c r="X494" s="1"/>
      <c r="Y494" s="1"/>
      <c r="AH494" s="1"/>
      <c r="AI494" s="1"/>
      <c r="AJ494" s="1"/>
      <c r="AK494" s="1"/>
      <c r="AL494" s="1"/>
      <c r="AM494" s="1"/>
      <c r="AN494" s="1"/>
    </row>
    <row r="495" spans="16:40" ht="15.75" customHeight="1" x14ac:dyDescent="0.25">
      <c r="P495" s="1"/>
      <c r="Q495" s="1"/>
      <c r="R495" s="1"/>
      <c r="S495" s="1"/>
      <c r="T495" s="1"/>
      <c r="U495" s="1"/>
      <c r="V495" s="1"/>
      <c r="W495" s="1"/>
      <c r="X495" s="1"/>
      <c r="Y495" s="1"/>
      <c r="AH495" s="1"/>
      <c r="AI495" s="1"/>
      <c r="AJ495" s="1"/>
      <c r="AK495" s="1"/>
      <c r="AL495" s="1"/>
      <c r="AM495" s="1"/>
      <c r="AN495" s="1"/>
    </row>
    <row r="496" spans="16:40" ht="15.75" customHeight="1" x14ac:dyDescent="0.25">
      <c r="P496" s="1"/>
      <c r="Q496" s="1"/>
      <c r="R496" s="1"/>
      <c r="S496" s="1"/>
      <c r="T496" s="1"/>
      <c r="U496" s="1"/>
      <c r="V496" s="1"/>
      <c r="W496" s="1"/>
      <c r="X496" s="1"/>
      <c r="Y496" s="1"/>
      <c r="AH496" s="1"/>
      <c r="AI496" s="1"/>
      <c r="AJ496" s="1"/>
      <c r="AK496" s="1"/>
      <c r="AL496" s="1"/>
      <c r="AM496" s="1"/>
      <c r="AN496" s="1"/>
    </row>
    <row r="497" spans="16:40" ht="15.75" customHeight="1" x14ac:dyDescent="0.25">
      <c r="P497" s="1"/>
      <c r="Q497" s="1"/>
      <c r="R497" s="1"/>
      <c r="S497" s="1"/>
      <c r="T497" s="1"/>
      <c r="U497" s="1"/>
      <c r="V497" s="1"/>
      <c r="W497" s="1"/>
      <c r="X497" s="1"/>
      <c r="Y497" s="1"/>
      <c r="AH497" s="1"/>
      <c r="AI497" s="1"/>
      <c r="AJ497" s="1"/>
      <c r="AK497" s="1"/>
      <c r="AL497" s="1"/>
      <c r="AM497" s="1"/>
      <c r="AN497" s="1"/>
    </row>
    <row r="498" spans="16:40" ht="15.75" customHeight="1" x14ac:dyDescent="0.25">
      <c r="P498" s="1"/>
      <c r="Q498" s="1"/>
      <c r="R498" s="1"/>
      <c r="S498" s="1"/>
      <c r="T498" s="1"/>
      <c r="U498" s="1"/>
      <c r="V498" s="1"/>
      <c r="W498" s="1"/>
      <c r="X498" s="1"/>
      <c r="Y498" s="1"/>
      <c r="AH498" s="1"/>
      <c r="AI498" s="1"/>
      <c r="AJ498" s="1"/>
      <c r="AK498" s="1"/>
      <c r="AL498" s="1"/>
      <c r="AM498" s="1"/>
      <c r="AN498" s="1"/>
    </row>
    <row r="499" spans="16:40" ht="15.75" customHeight="1" x14ac:dyDescent="0.25">
      <c r="P499" s="1"/>
      <c r="Q499" s="1"/>
      <c r="R499" s="1"/>
      <c r="S499" s="1"/>
      <c r="T499" s="1"/>
      <c r="U499" s="1"/>
      <c r="V499" s="1"/>
      <c r="W499" s="1"/>
      <c r="X499" s="1"/>
      <c r="Y499" s="1"/>
      <c r="AH499" s="1"/>
      <c r="AI499" s="1"/>
      <c r="AJ499" s="1"/>
      <c r="AK499" s="1"/>
      <c r="AL499" s="1"/>
      <c r="AM499" s="1"/>
      <c r="AN499" s="1"/>
    </row>
    <row r="500" spans="16:40" ht="15.75" customHeight="1" x14ac:dyDescent="0.25">
      <c r="P500" s="1"/>
      <c r="Q500" s="1"/>
      <c r="R500" s="1"/>
      <c r="S500" s="1"/>
      <c r="T500" s="1"/>
      <c r="U500" s="1"/>
      <c r="V500" s="1"/>
      <c r="W500" s="1"/>
      <c r="X500" s="1"/>
      <c r="Y500" s="1"/>
      <c r="AH500" s="1"/>
      <c r="AI500" s="1"/>
      <c r="AJ500" s="1"/>
      <c r="AK500" s="1"/>
      <c r="AL500" s="1"/>
      <c r="AM500" s="1"/>
      <c r="AN500" s="1"/>
    </row>
    <row r="501" spans="16:40" ht="15.75" customHeight="1" x14ac:dyDescent="0.25">
      <c r="P501" s="1"/>
      <c r="Q501" s="1"/>
      <c r="R501" s="1"/>
      <c r="S501" s="1"/>
      <c r="T501" s="1"/>
      <c r="U501" s="1"/>
      <c r="V501" s="1"/>
      <c r="W501" s="1"/>
      <c r="X501" s="1"/>
      <c r="Y501" s="1"/>
      <c r="AH501" s="1"/>
      <c r="AI501" s="1"/>
      <c r="AJ501" s="1"/>
      <c r="AK501" s="1"/>
      <c r="AL501" s="1"/>
      <c r="AM501" s="1"/>
      <c r="AN501" s="1"/>
    </row>
    <row r="502" spans="16:40" ht="15.75" customHeight="1" x14ac:dyDescent="0.25">
      <c r="P502" s="1"/>
      <c r="Q502" s="1"/>
      <c r="R502" s="1"/>
      <c r="S502" s="1"/>
      <c r="T502" s="1"/>
      <c r="U502" s="1"/>
      <c r="V502" s="1"/>
      <c r="W502" s="1"/>
      <c r="X502" s="1"/>
      <c r="Y502" s="1"/>
      <c r="AH502" s="1"/>
      <c r="AI502" s="1"/>
      <c r="AJ502" s="1"/>
      <c r="AK502" s="1"/>
      <c r="AL502" s="1"/>
      <c r="AM502" s="1"/>
      <c r="AN502" s="1"/>
    </row>
    <row r="503" spans="16:40" ht="15.75" customHeight="1" x14ac:dyDescent="0.25">
      <c r="P503" s="1"/>
      <c r="Q503" s="1"/>
      <c r="R503" s="1"/>
      <c r="S503" s="1"/>
      <c r="T503" s="1"/>
      <c r="U503" s="1"/>
      <c r="V503" s="1"/>
      <c r="W503" s="1"/>
      <c r="X503" s="1"/>
      <c r="Y503" s="1"/>
      <c r="AH503" s="1"/>
      <c r="AI503" s="1"/>
      <c r="AJ503" s="1"/>
      <c r="AK503" s="1"/>
      <c r="AL503" s="1"/>
      <c r="AM503" s="1"/>
      <c r="AN503" s="1"/>
    </row>
    <row r="504" spans="16:40" ht="15.75" customHeight="1" x14ac:dyDescent="0.25">
      <c r="P504" s="1"/>
      <c r="Q504" s="1"/>
      <c r="R504" s="1"/>
      <c r="S504" s="1"/>
      <c r="T504" s="1"/>
      <c r="U504" s="1"/>
      <c r="V504" s="1"/>
      <c r="W504" s="1"/>
      <c r="X504" s="1"/>
      <c r="Y504" s="1"/>
      <c r="AH504" s="1"/>
      <c r="AI504" s="1"/>
      <c r="AJ504" s="1"/>
      <c r="AK504" s="1"/>
      <c r="AL504" s="1"/>
      <c r="AM504" s="1"/>
      <c r="AN504" s="1"/>
    </row>
    <row r="505" spans="16:40" ht="15.75" customHeight="1" x14ac:dyDescent="0.25">
      <c r="P505" s="1"/>
      <c r="Q505" s="1"/>
      <c r="R505" s="1"/>
      <c r="S505" s="1"/>
      <c r="T505" s="1"/>
      <c r="U505" s="1"/>
      <c r="V505" s="1"/>
      <c r="W505" s="1"/>
      <c r="X505" s="1"/>
      <c r="Y505" s="1"/>
      <c r="AH505" s="1"/>
      <c r="AI505" s="1"/>
      <c r="AJ505" s="1"/>
      <c r="AK505" s="1"/>
      <c r="AL505" s="1"/>
      <c r="AM505" s="1"/>
      <c r="AN505" s="1"/>
    </row>
    <row r="506" spans="16:40" ht="15.75" customHeight="1" x14ac:dyDescent="0.25">
      <c r="P506" s="1"/>
      <c r="Q506" s="1"/>
      <c r="R506" s="1"/>
      <c r="S506" s="1"/>
      <c r="T506" s="1"/>
      <c r="U506" s="1"/>
      <c r="V506" s="1"/>
      <c r="W506" s="1"/>
      <c r="X506" s="1"/>
      <c r="Y506" s="1"/>
      <c r="AH506" s="1"/>
      <c r="AI506" s="1"/>
      <c r="AJ506" s="1"/>
      <c r="AK506" s="1"/>
      <c r="AL506" s="1"/>
      <c r="AM506" s="1"/>
      <c r="AN506" s="1"/>
    </row>
    <row r="507" spans="16:40" ht="15.75" customHeight="1" x14ac:dyDescent="0.25">
      <c r="P507" s="1"/>
      <c r="Q507" s="1"/>
      <c r="R507" s="1"/>
      <c r="S507" s="1"/>
      <c r="T507" s="1"/>
      <c r="U507" s="1"/>
      <c r="V507" s="1"/>
      <c r="W507" s="1"/>
      <c r="X507" s="1"/>
      <c r="Y507" s="1"/>
      <c r="AH507" s="1"/>
      <c r="AI507" s="1"/>
      <c r="AJ507" s="1"/>
      <c r="AK507" s="1"/>
      <c r="AL507" s="1"/>
      <c r="AM507" s="1"/>
      <c r="AN507" s="1"/>
    </row>
    <row r="508" spans="16:40" ht="15.75" customHeight="1" x14ac:dyDescent="0.25">
      <c r="P508" s="1"/>
      <c r="Q508" s="1"/>
      <c r="R508" s="1"/>
      <c r="S508" s="1"/>
      <c r="T508" s="1"/>
      <c r="U508" s="1"/>
      <c r="V508" s="1"/>
      <c r="W508" s="1"/>
      <c r="X508" s="1"/>
      <c r="Y508" s="1"/>
      <c r="AH508" s="1"/>
      <c r="AI508" s="1"/>
      <c r="AJ508" s="1"/>
      <c r="AK508" s="1"/>
      <c r="AL508" s="1"/>
      <c r="AM508" s="1"/>
      <c r="AN508" s="1"/>
    </row>
    <row r="509" spans="16:40" ht="15.75" customHeight="1" x14ac:dyDescent="0.25">
      <c r="P509" s="1"/>
      <c r="Q509" s="1"/>
      <c r="R509" s="1"/>
      <c r="S509" s="1"/>
      <c r="T509" s="1"/>
      <c r="U509" s="1"/>
      <c r="V509" s="1"/>
      <c r="W509" s="1"/>
      <c r="X509" s="1"/>
      <c r="Y509" s="1"/>
      <c r="AH509" s="1"/>
      <c r="AI509" s="1"/>
      <c r="AJ509" s="1"/>
      <c r="AK509" s="1"/>
      <c r="AL509" s="1"/>
      <c r="AM509" s="1"/>
      <c r="AN509" s="1"/>
    </row>
    <row r="510" spans="16:40" ht="15.75" customHeight="1" x14ac:dyDescent="0.25">
      <c r="P510" s="1"/>
      <c r="Q510" s="1"/>
      <c r="R510" s="1"/>
      <c r="S510" s="1"/>
      <c r="T510" s="1"/>
      <c r="U510" s="1"/>
      <c r="V510" s="1"/>
      <c r="W510" s="1"/>
      <c r="X510" s="1"/>
      <c r="Y510" s="1"/>
      <c r="AH510" s="1"/>
      <c r="AI510" s="1"/>
      <c r="AJ510" s="1"/>
      <c r="AK510" s="1"/>
      <c r="AL510" s="1"/>
      <c r="AM510" s="1"/>
      <c r="AN510" s="1"/>
    </row>
    <row r="511" spans="16:40" ht="15.75" customHeight="1" x14ac:dyDescent="0.25">
      <c r="P511" s="1"/>
      <c r="Q511" s="1"/>
      <c r="R511" s="1"/>
      <c r="S511" s="1"/>
      <c r="T511" s="1"/>
      <c r="U511" s="1"/>
      <c r="V511" s="1"/>
      <c r="W511" s="1"/>
      <c r="X511" s="1"/>
      <c r="Y511" s="1"/>
      <c r="AH511" s="1"/>
      <c r="AI511" s="1"/>
      <c r="AJ511" s="1"/>
      <c r="AK511" s="1"/>
      <c r="AL511" s="1"/>
      <c r="AM511" s="1"/>
      <c r="AN511" s="1"/>
    </row>
    <row r="512" spans="16:40" ht="15.75" customHeight="1" x14ac:dyDescent="0.25">
      <c r="P512" s="1"/>
      <c r="Q512" s="1"/>
      <c r="R512" s="1"/>
      <c r="S512" s="1"/>
      <c r="T512" s="1"/>
      <c r="U512" s="1"/>
      <c r="V512" s="1"/>
      <c r="W512" s="1"/>
      <c r="X512" s="1"/>
      <c r="Y512" s="1"/>
      <c r="AH512" s="1"/>
      <c r="AI512" s="1"/>
      <c r="AJ512" s="1"/>
      <c r="AK512" s="1"/>
      <c r="AL512" s="1"/>
      <c r="AM512" s="1"/>
      <c r="AN512" s="1"/>
    </row>
    <row r="513" spans="16:40" ht="15.75" customHeight="1" x14ac:dyDescent="0.25">
      <c r="P513" s="1"/>
      <c r="Q513" s="1"/>
      <c r="R513" s="1"/>
      <c r="S513" s="1"/>
      <c r="T513" s="1"/>
      <c r="U513" s="1"/>
      <c r="V513" s="1"/>
      <c r="W513" s="1"/>
      <c r="X513" s="1"/>
      <c r="Y513" s="1"/>
      <c r="AH513" s="1"/>
      <c r="AI513" s="1"/>
      <c r="AJ513" s="1"/>
      <c r="AK513" s="1"/>
      <c r="AL513" s="1"/>
      <c r="AM513" s="1"/>
      <c r="AN513" s="1"/>
    </row>
    <row r="514" spans="16:40" ht="15.75" customHeight="1" x14ac:dyDescent="0.25">
      <c r="P514" s="1"/>
      <c r="Q514" s="1"/>
      <c r="R514" s="1"/>
      <c r="S514" s="1"/>
      <c r="T514" s="1"/>
      <c r="U514" s="1"/>
      <c r="V514" s="1"/>
      <c r="W514" s="1"/>
      <c r="X514" s="1"/>
      <c r="Y514" s="1"/>
      <c r="AH514" s="1"/>
      <c r="AI514" s="1"/>
      <c r="AJ514" s="1"/>
      <c r="AK514" s="1"/>
      <c r="AL514" s="1"/>
      <c r="AM514" s="1"/>
      <c r="AN514" s="1"/>
    </row>
    <row r="515" spans="16:40" ht="15.75" customHeight="1" x14ac:dyDescent="0.25">
      <c r="P515" s="1"/>
      <c r="Q515" s="1"/>
      <c r="R515" s="1"/>
      <c r="S515" s="1"/>
      <c r="T515" s="1"/>
      <c r="U515" s="1"/>
      <c r="V515" s="1"/>
      <c r="W515" s="1"/>
      <c r="X515" s="1"/>
      <c r="Y515" s="1"/>
      <c r="AH515" s="1"/>
      <c r="AI515" s="1"/>
      <c r="AJ515" s="1"/>
      <c r="AK515" s="1"/>
      <c r="AL515" s="1"/>
      <c r="AM515" s="1"/>
      <c r="AN515" s="1"/>
    </row>
    <row r="516" spans="16:40" ht="15.75" customHeight="1" x14ac:dyDescent="0.25">
      <c r="P516" s="1"/>
      <c r="Q516" s="1"/>
      <c r="R516" s="1"/>
      <c r="S516" s="1"/>
      <c r="T516" s="1"/>
      <c r="U516" s="1"/>
      <c r="V516" s="1"/>
      <c r="W516" s="1"/>
      <c r="X516" s="1"/>
      <c r="Y516" s="1"/>
      <c r="AH516" s="1"/>
      <c r="AI516" s="1"/>
      <c r="AJ516" s="1"/>
      <c r="AK516" s="1"/>
      <c r="AL516" s="1"/>
      <c r="AM516" s="1"/>
      <c r="AN516" s="1"/>
    </row>
    <row r="517" spans="16:40" ht="15.75" customHeight="1" x14ac:dyDescent="0.25">
      <c r="P517" s="1"/>
      <c r="Q517" s="1"/>
      <c r="R517" s="1"/>
      <c r="S517" s="1"/>
      <c r="T517" s="1"/>
      <c r="U517" s="1"/>
      <c r="V517" s="1"/>
      <c r="W517" s="1"/>
      <c r="X517" s="1"/>
      <c r="Y517" s="1"/>
      <c r="AH517" s="1"/>
      <c r="AI517" s="1"/>
      <c r="AJ517" s="1"/>
      <c r="AK517" s="1"/>
      <c r="AL517" s="1"/>
      <c r="AM517" s="1"/>
      <c r="AN517" s="1"/>
    </row>
    <row r="518" spans="16:40" ht="15.75" customHeight="1" x14ac:dyDescent="0.25">
      <c r="P518" s="1"/>
      <c r="Q518" s="1"/>
      <c r="R518" s="1"/>
      <c r="S518" s="1"/>
      <c r="T518" s="1"/>
      <c r="U518" s="1"/>
      <c r="V518" s="1"/>
      <c r="W518" s="1"/>
      <c r="X518" s="1"/>
      <c r="Y518" s="1"/>
      <c r="AH518" s="1"/>
      <c r="AI518" s="1"/>
      <c r="AJ518" s="1"/>
      <c r="AK518" s="1"/>
      <c r="AL518" s="1"/>
      <c r="AM518" s="1"/>
      <c r="AN518" s="1"/>
    </row>
    <row r="519" spans="16:40" ht="15.75" customHeight="1" x14ac:dyDescent="0.25">
      <c r="P519" s="1"/>
      <c r="Q519" s="1"/>
      <c r="R519" s="1"/>
      <c r="S519" s="1"/>
      <c r="T519" s="1"/>
      <c r="U519" s="1"/>
      <c r="V519" s="1"/>
      <c r="W519" s="1"/>
      <c r="X519" s="1"/>
      <c r="Y519" s="1"/>
      <c r="AH519" s="1"/>
      <c r="AI519" s="1"/>
      <c r="AJ519" s="1"/>
      <c r="AK519" s="1"/>
      <c r="AL519" s="1"/>
      <c r="AM519" s="1"/>
      <c r="AN519" s="1"/>
    </row>
    <row r="520" spans="16:40" ht="15.75" customHeight="1" x14ac:dyDescent="0.25">
      <c r="P520" s="1"/>
      <c r="Q520" s="1"/>
      <c r="R520" s="1"/>
      <c r="S520" s="1"/>
      <c r="T520" s="1"/>
      <c r="U520" s="1"/>
      <c r="V520" s="1"/>
      <c r="W520" s="1"/>
      <c r="X520" s="1"/>
      <c r="Y520" s="1"/>
      <c r="AH520" s="1"/>
      <c r="AI520" s="1"/>
      <c r="AJ520" s="1"/>
      <c r="AK520" s="1"/>
      <c r="AL520" s="1"/>
      <c r="AM520" s="1"/>
      <c r="AN520" s="1"/>
    </row>
    <row r="521" spans="16:40" ht="15.75" customHeight="1" x14ac:dyDescent="0.25">
      <c r="P521" s="1"/>
      <c r="Q521" s="1"/>
      <c r="R521" s="1"/>
      <c r="S521" s="1"/>
      <c r="T521" s="1"/>
      <c r="U521" s="1"/>
      <c r="V521" s="1"/>
      <c r="W521" s="1"/>
      <c r="X521" s="1"/>
      <c r="Y521" s="1"/>
      <c r="AH521" s="1"/>
      <c r="AI521" s="1"/>
      <c r="AJ521" s="1"/>
      <c r="AK521" s="1"/>
      <c r="AL521" s="1"/>
      <c r="AM521" s="1"/>
      <c r="AN521" s="1"/>
    </row>
    <row r="522" spans="16:40" ht="15.75" customHeight="1" x14ac:dyDescent="0.25">
      <c r="P522" s="1"/>
      <c r="Q522" s="1"/>
      <c r="R522" s="1"/>
      <c r="S522" s="1"/>
      <c r="T522" s="1"/>
      <c r="U522" s="1"/>
      <c r="V522" s="1"/>
      <c r="W522" s="1"/>
      <c r="X522" s="1"/>
      <c r="Y522" s="1"/>
      <c r="AH522" s="1"/>
      <c r="AI522" s="1"/>
      <c r="AJ522" s="1"/>
      <c r="AK522" s="1"/>
      <c r="AL522" s="1"/>
      <c r="AM522" s="1"/>
      <c r="AN522" s="1"/>
    </row>
    <row r="523" spans="16:40" ht="15.75" customHeight="1" x14ac:dyDescent="0.25">
      <c r="P523" s="1"/>
      <c r="Q523" s="1"/>
      <c r="R523" s="1"/>
      <c r="S523" s="1"/>
      <c r="T523" s="1"/>
      <c r="U523" s="1"/>
      <c r="V523" s="1"/>
      <c r="W523" s="1"/>
      <c r="X523" s="1"/>
      <c r="Y523" s="1"/>
      <c r="AH523" s="1"/>
      <c r="AI523" s="1"/>
      <c r="AJ523" s="1"/>
      <c r="AK523" s="1"/>
      <c r="AL523" s="1"/>
      <c r="AM523" s="1"/>
      <c r="AN523" s="1"/>
    </row>
    <row r="524" spans="16:40" ht="15.75" customHeight="1" x14ac:dyDescent="0.25">
      <c r="P524" s="1"/>
      <c r="Q524" s="1"/>
      <c r="R524" s="1"/>
      <c r="S524" s="1"/>
      <c r="T524" s="1"/>
      <c r="U524" s="1"/>
      <c r="V524" s="1"/>
      <c r="W524" s="1"/>
      <c r="X524" s="1"/>
      <c r="Y524" s="1"/>
      <c r="AH524" s="1"/>
      <c r="AI524" s="1"/>
      <c r="AJ524" s="1"/>
      <c r="AK524" s="1"/>
      <c r="AL524" s="1"/>
      <c r="AM524" s="1"/>
      <c r="AN524" s="1"/>
    </row>
    <row r="525" spans="16:40" ht="15.75" customHeight="1" x14ac:dyDescent="0.25">
      <c r="P525" s="1"/>
      <c r="Q525" s="1"/>
      <c r="R525" s="1"/>
      <c r="S525" s="1"/>
      <c r="T525" s="1"/>
      <c r="U525" s="1"/>
      <c r="V525" s="1"/>
      <c r="W525" s="1"/>
      <c r="X525" s="1"/>
      <c r="Y525" s="1"/>
      <c r="AH525" s="1"/>
      <c r="AI525" s="1"/>
      <c r="AJ525" s="1"/>
      <c r="AK525" s="1"/>
      <c r="AL525" s="1"/>
      <c r="AM525" s="1"/>
      <c r="AN525" s="1"/>
    </row>
    <row r="526" spans="16:40" ht="15.75" customHeight="1" x14ac:dyDescent="0.25">
      <c r="P526" s="1"/>
      <c r="Q526" s="1"/>
      <c r="R526" s="1"/>
      <c r="S526" s="1"/>
      <c r="T526" s="1"/>
      <c r="U526" s="1"/>
      <c r="V526" s="1"/>
      <c r="W526" s="1"/>
      <c r="X526" s="1"/>
      <c r="Y526" s="1"/>
      <c r="AH526" s="1"/>
      <c r="AI526" s="1"/>
      <c r="AJ526" s="1"/>
      <c r="AK526" s="1"/>
      <c r="AL526" s="1"/>
      <c r="AM526" s="1"/>
      <c r="AN526" s="1"/>
    </row>
    <row r="527" spans="16:40" ht="15.75" customHeight="1" x14ac:dyDescent="0.25">
      <c r="P527" s="1"/>
      <c r="Q527" s="1"/>
      <c r="R527" s="1"/>
      <c r="S527" s="1"/>
      <c r="T527" s="1"/>
      <c r="U527" s="1"/>
      <c r="V527" s="1"/>
      <c r="W527" s="1"/>
      <c r="X527" s="1"/>
      <c r="Y527" s="1"/>
      <c r="AH527" s="1"/>
      <c r="AI527" s="1"/>
      <c r="AJ527" s="1"/>
      <c r="AK527" s="1"/>
      <c r="AL527" s="1"/>
      <c r="AM527" s="1"/>
      <c r="AN527" s="1"/>
    </row>
    <row r="528" spans="16:40" ht="15.75" customHeight="1" x14ac:dyDescent="0.25">
      <c r="P528" s="1"/>
      <c r="Q528" s="1"/>
      <c r="R528" s="1"/>
      <c r="S528" s="1"/>
      <c r="T528" s="1"/>
      <c r="U528" s="1"/>
      <c r="V528" s="1"/>
      <c r="W528" s="1"/>
      <c r="X528" s="1"/>
      <c r="Y528" s="1"/>
      <c r="AH528" s="1"/>
      <c r="AI528" s="1"/>
      <c r="AJ528" s="1"/>
      <c r="AK528" s="1"/>
      <c r="AL528" s="1"/>
      <c r="AM528" s="1"/>
      <c r="AN528" s="1"/>
    </row>
    <row r="529" spans="16:40" ht="15.75" customHeight="1" x14ac:dyDescent="0.25">
      <c r="P529" s="1"/>
      <c r="Q529" s="1"/>
      <c r="R529" s="1"/>
      <c r="S529" s="1"/>
      <c r="T529" s="1"/>
      <c r="U529" s="1"/>
      <c r="V529" s="1"/>
      <c r="W529" s="1"/>
      <c r="X529" s="1"/>
      <c r="Y529" s="1"/>
      <c r="AH529" s="1"/>
      <c r="AI529" s="1"/>
      <c r="AJ529" s="1"/>
      <c r="AK529" s="1"/>
      <c r="AL529" s="1"/>
      <c r="AM529" s="1"/>
      <c r="AN529" s="1"/>
    </row>
    <row r="530" spans="16:40" ht="15.75" customHeight="1" x14ac:dyDescent="0.25">
      <c r="P530" s="1"/>
      <c r="Q530" s="1"/>
      <c r="R530" s="1"/>
      <c r="S530" s="1"/>
      <c r="T530" s="1"/>
      <c r="U530" s="1"/>
      <c r="V530" s="1"/>
      <c r="W530" s="1"/>
      <c r="X530" s="1"/>
      <c r="Y530" s="1"/>
      <c r="AH530" s="1"/>
      <c r="AI530" s="1"/>
      <c r="AJ530" s="1"/>
      <c r="AK530" s="1"/>
      <c r="AL530" s="1"/>
      <c r="AM530" s="1"/>
      <c r="AN530" s="1"/>
    </row>
    <row r="531" spans="16:40" ht="15.75" customHeight="1" x14ac:dyDescent="0.25">
      <c r="P531" s="1"/>
      <c r="Q531" s="1"/>
      <c r="R531" s="1"/>
      <c r="S531" s="1"/>
      <c r="T531" s="1"/>
      <c r="U531" s="1"/>
      <c r="V531" s="1"/>
      <c r="W531" s="1"/>
      <c r="X531" s="1"/>
      <c r="Y531" s="1"/>
      <c r="AH531" s="1"/>
      <c r="AI531" s="1"/>
      <c r="AJ531" s="1"/>
      <c r="AK531" s="1"/>
      <c r="AL531" s="1"/>
      <c r="AM531" s="1"/>
      <c r="AN531" s="1"/>
    </row>
    <row r="532" spans="16:40" ht="15.75" customHeight="1" x14ac:dyDescent="0.25">
      <c r="P532" s="1"/>
      <c r="Q532" s="1"/>
      <c r="R532" s="1"/>
      <c r="S532" s="1"/>
      <c r="T532" s="1"/>
      <c r="U532" s="1"/>
      <c r="V532" s="1"/>
      <c r="W532" s="1"/>
      <c r="X532" s="1"/>
      <c r="Y532" s="1"/>
      <c r="AH532" s="1"/>
      <c r="AI532" s="1"/>
      <c r="AJ532" s="1"/>
      <c r="AK532" s="1"/>
      <c r="AL532" s="1"/>
      <c r="AM532" s="1"/>
      <c r="AN532" s="1"/>
    </row>
    <row r="533" spans="16:40" ht="15.75" customHeight="1" x14ac:dyDescent="0.25">
      <c r="P533" s="1"/>
      <c r="Q533" s="1"/>
      <c r="R533" s="1"/>
      <c r="S533" s="1"/>
      <c r="T533" s="1"/>
      <c r="U533" s="1"/>
      <c r="V533" s="1"/>
      <c r="W533" s="1"/>
      <c r="X533" s="1"/>
      <c r="Y533" s="1"/>
      <c r="AH533" s="1"/>
      <c r="AI533" s="1"/>
      <c r="AJ533" s="1"/>
      <c r="AK533" s="1"/>
      <c r="AL533" s="1"/>
      <c r="AM533" s="1"/>
      <c r="AN533" s="1"/>
    </row>
    <row r="534" spans="16:40" ht="15.75" customHeight="1" x14ac:dyDescent="0.25">
      <c r="P534" s="1"/>
      <c r="Q534" s="1"/>
      <c r="R534" s="1"/>
      <c r="S534" s="1"/>
      <c r="T534" s="1"/>
      <c r="U534" s="1"/>
      <c r="V534" s="1"/>
      <c r="W534" s="1"/>
      <c r="X534" s="1"/>
      <c r="Y534" s="1"/>
      <c r="AH534" s="1"/>
      <c r="AI534" s="1"/>
      <c r="AJ534" s="1"/>
      <c r="AK534" s="1"/>
      <c r="AL534" s="1"/>
      <c r="AM534" s="1"/>
      <c r="AN534" s="1"/>
    </row>
    <row r="535" spans="16:40" ht="15.75" customHeight="1" x14ac:dyDescent="0.25">
      <c r="P535" s="1"/>
      <c r="Q535" s="1"/>
      <c r="R535" s="1"/>
      <c r="S535" s="1"/>
      <c r="T535" s="1"/>
      <c r="U535" s="1"/>
      <c r="V535" s="1"/>
      <c r="W535" s="1"/>
      <c r="X535" s="1"/>
      <c r="Y535" s="1"/>
      <c r="AH535" s="1"/>
      <c r="AI535" s="1"/>
      <c r="AJ535" s="1"/>
      <c r="AK535" s="1"/>
      <c r="AL535" s="1"/>
      <c r="AM535" s="1"/>
      <c r="AN535" s="1"/>
    </row>
    <row r="536" spans="16:40" ht="15.75" customHeight="1" x14ac:dyDescent="0.25">
      <c r="P536" s="1"/>
      <c r="Q536" s="1"/>
      <c r="R536" s="1"/>
      <c r="S536" s="1"/>
      <c r="T536" s="1"/>
      <c r="U536" s="1"/>
      <c r="V536" s="1"/>
      <c r="W536" s="1"/>
      <c r="X536" s="1"/>
      <c r="Y536" s="1"/>
      <c r="AH536" s="1"/>
      <c r="AI536" s="1"/>
      <c r="AJ536" s="1"/>
      <c r="AK536" s="1"/>
      <c r="AL536" s="1"/>
      <c r="AM536" s="1"/>
      <c r="AN536" s="1"/>
    </row>
    <row r="537" spans="16:40" ht="15.75" customHeight="1" x14ac:dyDescent="0.25">
      <c r="P537" s="1"/>
      <c r="Q537" s="1"/>
      <c r="R537" s="1"/>
      <c r="S537" s="1"/>
      <c r="T537" s="1"/>
      <c r="U537" s="1"/>
      <c r="V537" s="1"/>
      <c r="W537" s="1"/>
      <c r="X537" s="1"/>
      <c r="Y537" s="1"/>
      <c r="AH537" s="1"/>
      <c r="AI537" s="1"/>
      <c r="AJ537" s="1"/>
      <c r="AK537" s="1"/>
      <c r="AL537" s="1"/>
      <c r="AM537" s="1"/>
      <c r="AN537" s="1"/>
    </row>
    <row r="538" spans="16:40" ht="15.75" customHeight="1" x14ac:dyDescent="0.25">
      <c r="P538" s="1"/>
      <c r="Q538" s="1"/>
      <c r="R538" s="1"/>
      <c r="S538" s="1"/>
      <c r="T538" s="1"/>
      <c r="U538" s="1"/>
      <c r="V538" s="1"/>
      <c r="W538" s="1"/>
      <c r="X538" s="1"/>
      <c r="Y538" s="1"/>
      <c r="AH538" s="1"/>
      <c r="AI538" s="1"/>
      <c r="AJ538" s="1"/>
      <c r="AK538" s="1"/>
      <c r="AL538" s="1"/>
      <c r="AM538" s="1"/>
      <c r="AN538" s="1"/>
    </row>
    <row r="539" spans="16:40" ht="15.75" customHeight="1" x14ac:dyDescent="0.25">
      <c r="P539" s="1"/>
      <c r="Q539" s="1"/>
      <c r="R539" s="1"/>
      <c r="S539" s="1"/>
      <c r="T539" s="1"/>
      <c r="U539" s="1"/>
      <c r="V539" s="1"/>
      <c r="W539" s="1"/>
      <c r="X539" s="1"/>
      <c r="Y539" s="1"/>
      <c r="AH539" s="1"/>
      <c r="AI539" s="1"/>
      <c r="AJ539" s="1"/>
      <c r="AK539" s="1"/>
      <c r="AL539" s="1"/>
      <c r="AM539" s="1"/>
      <c r="AN539" s="1"/>
    </row>
    <row r="540" spans="16:40" ht="15.75" customHeight="1" x14ac:dyDescent="0.25">
      <c r="P540" s="1"/>
      <c r="Q540" s="1"/>
      <c r="R540" s="1"/>
      <c r="S540" s="1"/>
      <c r="T540" s="1"/>
      <c r="U540" s="1"/>
      <c r="V540" s="1"/>
      <c r="W540" s="1"/>
      <c r="X540" s="1"/>
      <c r="Y540" s="1"/>
      <c r="AH540" s="1"/>
      <c r="AI540" s="1"/>
      <c r="AJ540" s="1"/>
      <c r="AK540" s="1"/>
      <c r="AL540" s="1"/>
      <c r="AM540" s="1"/>
      <c r="AN540" s="1"/>
    </row>
    <row r="541" spans="16:40" ht="15.75" customHeight="1" x14ac:dyDescent="0.25">
      <c r="P541" s="1"/>
      <c r="Q541" s="1"/>
      <c r="R541" s="1"/>
      <c r="S541" s="1"/>
      <c r="T541" s="1"/>
      <c r="U541" s="1"/>
      <c r="V541" s="1"/>
      <c r="W541" s="1"/>
      <c r="X541" s="1"/>
      <c r="Y541" s="1"/>
      <c r="AH541" s="1"/>
      <c r="AI541" s="1"/>
      <c r="AJ541" s="1"/>
      <c r="AK541" s="1"/>
      <c r="AL541" s="1"/>
      <c r="AM541" s="1"/>
      <c r="AN541" s="1"/>
    </row>
    <row r="542" spans="16:40" ht="15.75" customHeight="1" x14ac:dyDescent="0.25">
      <c r="P542" s="1"/>
      <c r="Q542" s="1"/>
      <c r="R542" s="1"/>
      <c r="S542" s="1"/>
      <c r="T542" s="1"/>
      <c r="U542" s="1"/>
      <c r="V542" s="1"/>
      <c r="W542" s="1"/>
      <c r="X542" s="1"/>
      <c r="Y542" s="1"/>
      <c r="AH542" s="1"/>
      <c r="AI542" s="1"/>
      <c r="AJ542" s="1"/>
      <c r="AK542" s="1"/>
      <c r="AL542" s="1"/>
      <c r="AM542" s="1"/>
      <c r="AN542" s="1"/>
    </row>
    <row r="543" spans="16:40" ht="15.75" customHeight="1" x14ac:dyDescent="0.25">
      <c r="P543" s="1"/>
      <c r="Q543" s="1"/>
      <c r="R543" s="1"/>
      <c r="S543" s="1"/>
      <c r="T543" s="1"/>
      <c r="U543" s="1"/>
      <c r="V543" s="1"/>
      <c r="W543" s="1"/>
      <c r="X543" s="1"/>
      <c r="Y543" s="1"/>
      <c r="AH543" s="1"/>
      <c r="AI543" s="1"/>
      <c r="AJ543" s="1"/>
      <c r="AK543" s="1"/>
      <c r="AL543" s="1"/>
      <c r="AM543" s="1"/>
      <c r="AN543" s="1"/>
    </row>
    <row r="544" spans="16:40" ht="15.75" customHeight="1" x14ac:dyDescent="0.25">
      <c r="P544" s="1"/>
      <c r="Q544" s="1"/>
      <c r="R544" s="1"/>
      <c r="S544" s="1"/>
      <c r="T544" s="1"/>
      <c r="U544" s="1"/>
      <c r="V544" s="1"/>
      <c r="W544" s="1"/>
      <c r="X544" s="1"/>
      <c r="Y544" s="1"/>
      <c r="AH544" s="1"/>
      <c r="AI544" s="1"/>
      <c r="AJ544" s="1"/>
      <c r="AK544" s="1"/>
      <c r="AL544" s="1"/>
      <c r="AM544" s="1"/>
      <c r="AN544" s="1"/>
    </row>
    <row r="545" spans="16:40" ht="15.75" customHeight="1" x14ac:dyDescent="0.25">
      <c r="P545" s="1"/>
      <c r="Q545" s="1"/>
      <c r="R545" s="1"/>
      <c r="S545" s="1"/>
      <c r="T545" s="1"/>
      <c r="U545" s="1"/>
      <c r="V545" s="1"/>
      <c r="W545" s="1"/>
      <c r="X545" s="1"/>
      <c r="Y545" s="1"/>
      <c r="AH545" s="1"/>
      <c r="AI545" s="1"/>
      <c r="AJ545" s="1"/>
      <c r="AK545" s="1"/>
      <c r="AL545" s="1"/>
      <c r="AM545" s="1"/>
      <c r="AN545" s="1"/>
    </row>
    <row r="546" spans="16:40" ht="15.75" customHeight="1" x14ac:dyDescent="0.25">
      <c r="P546" s="1"/>
      <c r="Q546" s="1"/>
      <c r="R546" s="1"/>
      <c r="S546" s="1"/>
      <c r="T546" s="1"/>
      <c r="U546" s="1"/>
      <c r="V546" s="1"/>
      <c r="W546" s="1"/>
      <c r="X546" s="1"/>
      <c r="Y546" s="1"/>
      <c r="AH546" s="1"/>
      <c r="AI546" s="1"/>
      <c r="AJ546" s="1"/>
      <c r="AK546" s="1"/>
      <c r="AL546" s="1"/>
      <c r="AM546" s="1"/>
      <c r="AN546" s="1"/>
    </row>
    <row r="547" spans="16:40" ht="15.75" customHeight="1" x14ac:dyDescent="0.25">
      <c r="P547" s="1"/>
      <c r="Q547" s="1"/>
      <c r="R547" s="1"/>
      <c r="S547" s="1"/>
      <c r="T547" s="1"/>
      <c r="U547" s="1"/>
      <c r="V547" s="1"/>
      <c r="W547" s="1"/>
      <c r="X547" s="1"/>
      <c r="Y547" s="1"/>
      <c r="AH547" s="1"/>
      <c r="AI547" s="1"/>
      <c r="AJ547" s="1"/>
      <c r="AK547" s="1"/>
      <c r="AL547" s="1"/>
      <c r="AM547" s="1"/>
      <c r="AN547" s="1"/>
    </row>
    <row r="548" spans="16:40" ht="15.75" customHeight="1" x14ac:dyDescent="0.25">
      <c r="P548" s="1"/>
      <c r="Q548" s="1"/>
      <c r="R548" s="1"/>
      <c r="S548" s="1"/>
      <c r="T548" s="1"/>
      <c r="U548" s="1"/>
      <c r="V548" s="1"/>
      <c r="W548" s="1"/>
      <c r="X548" s="1"/>
      <c r="Y548" s="1"/>
      <c r="AH548" s="1"/>
      <c r="AI548" s="1"/>
      <c r="AJ548" s="1"/>
      <c r="AK548" s="1"/>
      <c r="AL548" s="1"/>
      <c r="AM548" s="1"/>
      <c r="AN548" s="1"/>
    </row>
    <row r="549" spans="16:40" ht="15.75" customHeight="1" x14ac:dyDescent="0.25">
      <c r="P549" s="1"/>
      <c r="Q549" s="1"/>
      <c r="R549" s="1"/>
      <c r="S549" s="1"/>
      <c r="T549" s="1"/>
      <c r="U549" s="1"/>
      <c r="V549" s="1"/>
      <c r="W549" s="1"/>
      <c r="X549" s="1"/>
      <c r="Y549" s="1"/>
      <c r="AH549" s="1"/>
      <c r="AI549" s="1"/>
      <c r="AJ549" s="1"/>
      <c r="AK549" s="1"/>
      <c r="AL549" s="1"/>
      <c r="AM549" s="1"/>
      <c r="AN549" s="1"/>
    </row>
    <row r="550" spans="16:40" ht="15.75" customHeight="1" x14ac:dyDescent="0.25">
      <c r="P550" s="1"/>
      <c r="Q550" s="1"/>
      <c r="R550" s="1"/>
      <c r="S550" s="1"/>
      <c r="T550" s="1"/>
      <c r="U550" s="1"/>
      <c r="V550" s="1"/>
      <c r="W550" s="1"/>
      <c r="X550" s="1"/>
      <c r="Y550" s="1"/>
      <c r="AH550" s="1"/>
      <c r="AI550" s="1"/>
      <c r="AJ550" s="1"/>
      <c r="AK550" s="1"/>
      <c r="AL550" s="1"/>
      <c r="AM550" s="1"/>
      <c r="AN550" s="1"/>
    </row>
    <row r="551" spans="16:40" ht="15.75" customHeight="1" x14ac:dyDescent="0.25">
      <c r="P551" s="1"/>
      <c r="Q551" s="1"/>
      <c r="R551" s="1"/>
      <c r="S551" s="1"/>
      <c r="T551" s="1"/>
      <c r="U551" s="1"/>
      <c r="V551" s="1"/>
      <c r="W551" s="1"/>
      <c r="X551" s="1"/>
      <c r="Y551" s="1"/>
      <c r="AH551" s="1"/>
      <c r="AI551" s="1"/>
      <c r="AJ551" s="1"/>
      <c r="AK551" s="1"/>
      <c r="AL551" s="1"/>
      <c r="AM551" s="1"/>
      <c r="AN551" s="1"/>
    </row>
    <row r="552" spans="16:40" ht="15.75" customHeight="1" x14ac:dyDescent="0.25">
      <c r="P552" s="1"/>
      <c r="Q552" s="1"/>
      <c r="R552" s="1"/>
      <c r="S552" s="1"/>
      <c r="T552" s="1"/>
      <c r="U552" s="1"/>
      <c r="V552" s="1"/>
      <c r="W552" s="1"/>
      <c r="X552" s="1"/>
      <c r="Y552" s="1"/>
      <c r="AH552" s="1"/>
      <c r="AI552" s="1"/>
      <c r="AJ552" s="1"/>
      <c r="AK552" s="1"/>
      <c r="AL552" s="1"/>
      <c r="AM552" s="1"/>
      <c r="AN552" s="1"/>
    </row>
    <row r="553" spans="16:40" ht="15.75" customHeight="1" x14ac:dyDescent="0.25">
      <c r="P553" s="1"/>
      <c r="Q553" s="1"/>
      <c r="R553" s="1"/>
      <c r="S553" s="1"/>
      <c r="T553" s="1"/>
      <c r="U553" s="1"/>
      <c r="V553" s="1"/>
      <c r="W553" s="1"/>
      <c r="X553" s="1"/>
      <c r="Y553" s="1"/>
      <c r="AH553" s="1"/>
      <c r="AI553" s="1"/>
      <c r="AJ553" s="1"/>
      <c r="AK553" s="1"/>
      <c r="AL553" s="1"/>
      <c r="AM553" s="1"/>
      <c r="AN553" s="1"/>
    </row>
    <row r="554" spans="16:40" ht="15.75" customHeight="1" x14ac:dyDescent="0.25">
      <c r="P554" s="1"/>
      <c r="Q554" s="1"/>
      <c r="R554" s="1"/>
      <c r="S554" s="1"/>
      <c r="T554" s="1"/>
      <c r="U554" s="1"/>
      <c r="V554" s="1"/>
      <c r="W554" s="1"/>
      <c r="X554" s="1"/>
      <c r="Y554" s="1"/>
      <c r="AH554" s="1"/>
      <c r="AI554" s="1"/>
      <c r="AJ554" s="1"/>
      <c r="AK554" s="1"/>
      <c r="AL554" s="1"/>
      <c r="AM554" s="1"/>
      <c r="AN554" s="1"/>
    </row>
    <row r="555" spans="16:40" ht="15.75" customHeight="1" x14ac:dyDescent="0.25">
      <c r="P555" s="1"/>
      <c r="Q555" s="1"/>
      <c r="R555" s="1"/>
      <c r="S555" s="1"/>
      <c r="T555" s="1"/>
      <c r="U555" s="1"/>
      <c r="V555" s="1"/>
      <c r="W555" s="1"/>
      <c r="X555" s="1"/>
      <c r="Y555" s="1"/>
      <c r="AH555" s="1"/>
      <c r="AI555" s="1"/>
      <c r="AJ555" s="1"/>
      <c r="AK555" s="1"/>
      <c r="AL555" s="1"/>
      <c r="AM555" s="1"/>
      <c r="AN555" s="1"/>
    </row>
    <row r="556" spans="16:40" ht="15.75" customHeight="1" x14ac:dyDescent="0.25">
      <c r="P556" s="1"/>
      <c r="Q556" s="1"/>
      <c r="R556" s="1"/>
      <c r="S556" s="1"/>
      <c r="T556" s="1"/>
      <c r="U556" s="1"/>
      <c r="V556" s="1"/>
      <c r="W556" s="1"/>
      <c r="X556" s="1"/>
      <c r="Y556" s="1"/>
      <c r="AH556" s="1"/>
      <c r="AI556" s="1"/>
      <c r="AJ556" s="1"/>
      <c r="AK556" s="1"/>
      <c r="AL556" s="1"/>
      <c r="AM556" s="1"/>
      <c r="AN556" s="1"/>
    </row>
    <row r="557" spans="16:40" ht="15.75" customHeight="1" x14ac:dyDescent="0.25">
      <c r="P557" s="1"/>
      <c r="Q557" s="1"/>
      <c r="R557" s="1"/>
      <c r="S557" s="1"/>
      <c r="T557" s="1"/>
      <c r="U557" s="1"/>
      <c r="V557" s="1"/>
      <c r="W557" s="1"/>
      <c r="X557" s="1"/>
      <c r="Y557" s="1"/>
      <c r="AH557" s="1"/>
      <c r="AI557" s="1"/>
      <c r="AJ557" s="1"/>
      <c r="AK557" s="1"/>
      <c r="AL557" s="1"/>
      <c r="AM557" s="1"/>
      <c r="AN557" s="1"/>
    </row>
    <row r="558" spans="16:40" ht="15.75" customHeight="1" x14ac:dyDescent="0.25">
      <c r="P558" s="1"/>
      <c r="Q558" s="1"/>
      <c r="R558" s="1"/>
      <c r="S558" s="1"/>
      <c r="T558" s="1"/>
      <c r="U558" s="1"/>
      <c r="V558" s="1"/>
      <c r="W558" s="1"/>
      <c r="X558" s="1"/>
      <c r="Y558" s="1"/>
      <c r="AH558" s="1"/>
      <c r="AI558" s="1"/>
      <c r="AJ558" s="1"/>
      <c r="AK558" s="1"/>
      <c r="AL558" s="1"/>
      <c r="AM558" s="1"/>
      <c r="AN558" s="1"/>
    </row>
    <row r="559" spans="16:40" ht="15.75" customHeight="1" x14ac:dyDescent="0.25">
      <c r="P559" s="1"/>
      <c r="Q559" s="1"/>
      <c r="R559" s="1"/>
      <c r="S559" s="1"/>
      <c r="T559" s="1"/>
      <c r="U559" s="1"/>
      <c r="V559" s="1"/>
      <c r="W559" s="1"/>
      <c r="X559" s="1"/>
      <c r="Y559" s="1"/>
      <c r="AH559" s="1"/>
      <c r="AI559" s="1"/>
      <c r="AJ559" s="1"/>
      <c r="AK559" s="1"/>
      <c r="AL559" s="1"/>
      <c r="AM559" s="1"/>
      <c r="AN559" s="1"/>
    </row>
    <row r="560" spans="16:40" ht="15.75" customHeight="1" x14ac:dyDescent="0.25">
      <c r="P560" s="1"/>
      <c r="Q560" s="1"/>
      <c r="R560" s="1"/>
      <c r="S560" s="1"/>
      <c r="T560" s="1"/>
      <c r="U560" s="1"/>
      <c r="V560" s="1"/>
      <c r="W560" s="1"/>
      <c r="X560" s="1"/>
      <c r="Y560" s="1"/>
      <c r="AH560" s="1"/>
      <c r="AI560" s="1"/>
      <c r="AJ560" s="1"/>
      <c r="AK560" s="1"/>
      <c r="AL560" s="1"/>
      <c r="AM560" s="1"/>
      <c r="AN560" s="1"/>
    </row>
    <row r="561" spans="16:40" ht="15.75" customHeight="1" x14ac:dyDescent="0.25">
      <c r="P561" s="1"/>
      <c r="Q561" s="1"/>
      <c r="R561" s="1"/>
      <c r="S561" s="1"/>
      <c r="T561" s="1"/>
      <c r="U561" s="1"/>
      <c r="V561" s="1"/>
      <c r="W561" s="1"/>
      <c r="X561" s="1"/>
      <c r="Y561" s="1"/>
      <c r="AH561" s="1"/>
      <c r="AI561" s="1"/>
      <c r="AJ561" s="1"/>
      <c r="AK561" s="1"/>
      <c r="AL561" s="1"/>
      <c r="AM561" s="1"/>
      <c r="AN561" s="1"/>
    </row>
    <row r="562" spans="16:40" ht="15.75" customHeight="1" x14ac:dyDescent="0.25">
      <c r="P562" s="1"/>
      <c r="Q562" s="1"/>
      <c r="R562" s="1"/>
      <c r="S562" s="1"/>
      <c r="T562" s="1"/>
      <c r="U562" s="1"/>
      <c r="V562" s="1"/>
      <c r="W562" s="1"/>
      <c r="X562" s="1"/>
      <c r="Y562" s="1"/>
      <c r="AH562" s="1"/>
      <c r="AI562" s="1"/>
      <c r="AJ562" s="1"/>
      <c r="AK562" s="1"/>
      <c r="AL562" s="1"/>
      <c r="AM562" s="1"/>
      <c r="AN562" s="1"/>
    </row>
    <row r="563" spans="16:40" ht="15.75" customHeight="1" x14ac:dyDescent="0.25">
      <c r="P563" s="1"/>
      <c r="Q563" s="1"/>
      <c r="R563" s="1"/>
      <c r="S563" s="1"/>
      <c r="T563" s="1"/>
      <c r="U563" s="1"/>
      <c r="V563" s="1"/>
      <c r="W563" s="1"/>
      <c r="X563" s="1"/>
      <c r="Y563" s="1"/>
      <c r="AH563" s="1"/>
      <c r="AI563" s="1"/>
      <c r="AJ563" s="1"/>
      <c r="AK563" s="1"/>
      <c r="AL563" s="1"/>
      <c r="AM563" s="1"/>
      <c r="AN563" s="1"/>
    </row>
    <row r="564" spans="16:40" ht="15.75" customHeight="1" x14ac:dyDescent="0.25">
      <c r="P564" s="1"/>
      <c r="Q564" s="1"/>
      <c r="R564" s="1"/>
      <c r="S564" s="1"/>
      <c r="T564" s="1"/>
      <c r="U564" s="1"/>
      <c r="V564" s="1"/>
      <c r="W564" s="1"/>
      <c r="X564" s="1"/>
      <c r="Y564" s="1"/>
      <c r="AH564" s="1"/>
      <c r="AI564" s="1"/>
      <c r="AJ564" s="1"/>
      <c r="AK564" s="1"/>
      <c r="AL564" s="1"/>
      <c r="AM564" s="1"/>
      <c r="AN564" s="1"/>
    </row>
    <row r="565" spans="16:40" ht="15.75" customHeight="1" x14ac:dyDescent="0.25">
      <c r="P565" s="1"/>
      <c r="Q565" s="1"/>
      <c r="R565" s="1"/>
      <c r="S565" s="1"/>
      <c r="T565" s="1"/>
      <c r="U565" s="1"/>
      <c r="V565" s="1"/>
      <c r="W565" s="1"/>
      <c r="X565" s="1"/>
      <c r="Y565" s="1"/>
      <c r="AH565" s="1"/>
      <c r="AI565" s="1"/>
      <c r="AJ565" s="1"/>
      <c r="AK565" s="1"/>
      <c r="AL565" s="1"/>
      <c r="AM565" s="1"/>
      <c r="AN565" s="1"/>
    </row>
    <row r="566" spans="16:40" ht="15.75" customHeight="1" x14ac:dyDescent="0.25">
      <c r="P566" s="1"/>
      <c r="Q566" s="1"/>
      <c r="R566" s="1"/>
      <c r="S566" s="1"/>
      <c r="T566" s="1"/>
      <c r="U566" s="1"/>
      <c r="V566" s="1"/>
      <c r="W566" s="1"/>
      <c r="X566" s="1"/>
      <c r="Y566" s="1"/>
      <c r="AH566" s="1"/>
      <c r="AI566" s="1"/>
      <c r="AJ566" s="1"/>
      <c r="AK566" s="1"/>
      <c r="AL566" s="1"/>
      <c r="AM566" s="1"/>
      <c r="AN566" s="1"/>
    </row>
    <row r="567" spans="16:40" ht="15.75" customHeight="1" x14ac:dyDescent="0.25">
      <c r="P567" s="1"/>
      <c r="Q567" s="1"/>
      <c r="R567" s="1"/>
      <c r="S567" s="1"/>
      <c r="T567" s="1"/>
      <c r="U567" s="1"/>
      <c r="V567" s="1"/>
      <c r="W567" s="1"/>
      <c r="X567" s="1"/>
      <c r="Y567" s="1"/>
      <c r="AH567" s="1"/>
      <c r="AI567" s="1"/>
      <c r="AJ567" s="1"/>
      <c r="AK567" s="1"/>
      <c r="AL567" s="1"/>
      <c r="AM567" s="1"/>
      <c r="AN567" s="1"/>
    </row>
    <row r="568" spans="16:40" ht="15.75" customHeight="1" x14ac:dyDescent="0.25">
      <c r="P568" s="1"/>
      <c r="Q568" s="1"/>
      <c r="R568" s="1"/>
      <c r="S568" s="1"/>
      <c r="T568" s="1"/>
      <c r="U568" s="1"/>
      <c r="V568" s="1"/>
      <c r="W568" s="1"/>
      <c r="X568" s="1"/>
      <c r="Y568" s="1"/>
      <c r="AH568" s="1"/>
      <c r="AI568" s="1"/>
      <c r="AJ568" s="1"/>
      <c r="AK568" s="1"/>
      <c r="AL568" s="1"/>
      <c r="AM568" s="1"/>
      <c r="AN568" s="1"/>
    </row>
    <row r="569" spans="16:40" ht="15.75" customHeight="1" x14ac:dyDescent="0.25">
      <c r="P569" s="1"/>
      <c r="Q569" s="1"/>
      <c r="R569" s="1"/>
      <c r="S569" s="1"/>
      <c r="T569" s="1"/>
      <c r="U569" s="1"/>
      <c r="V569" s="1"/>
      <c r="W569" s="1"/>
      <c r="X569" s="1"/>
      <c r="Y569" s="1"/>
      <c r="AH569" s="1"/>
      <c r="AI569" s="1"/>
      <c r="AJ569" s="1"/>
      <c r="AK569" s="1"/>
      <c r="AL569" s="1"/>
      <c r="AM569" s="1"/>
      <c r="AN569" s="1"/>
    </row>
    <row r="570" spans="16:40" ht="15.75" customHeight="1" x14ac:dyDescent="0.25">
      <c r="P570" s="1"/>
      <c r="Q570" s="1"/>
      <c r="R570" s="1"/>
      <c r="S570" s="1"/>
      <c r="T570" s="1"/>
      <c r="U570" s="1"/>
      <c r="V570" s="1"/>
      <c r="W570" s="1"/>
      <c r="X570" s="1"/>
      <c r="Y570" s="1"/>
      <c r="AH570" s="1"/>
      <c r="AI570" s="1"/>
      <c r="AJ570" s="1"/>
      <c r="AK570" s="1"/>
      <c r="AL570" s="1"/>
      <c r="AM570" s="1"/>
      <c r="AN570" s="1"/>
    </row>
    <row r="571" spans="16:40" ht="15.75" customHeight="1" x14ac:dyDescent="0.25">
      <c r="P571" s="1"/>
      <c r="Q571" s="1"/>
      <c r="R571" s="1"/>
      <c r="S571" s="1"/>
      <c r="T571" s="1"/>
      <c r="U571" s="1"/>
      <c r="V571" s="1"/>
      <c r="W571" s="1"/>
      <c r="X571" s="1"/>
      <c r="Y571" s="1"/>
      <c r="AH571" s="1"/>
      <c r="AI571" s="1"/>
      <c r="AJ571" s="1"/>
      <c r="AK571" s="1"/>
      <c r="AL571" s="1"/>
      <c r="AM571" s="1"/>
      <c r="AN571" s="1"/>
    </row>
    <row r="572" spans="16:40" ht="15.75" customHeight="1" x14ac:dyDescent="0.25">
      <c r="P572" s="1"/>
      <c r="Q572" s="1"/>
      <c r="R572" s="1"/>
      <c r="S572" s="1"/>
      <c r="T572" s="1"/>
      <c r="U572" s="1"/>
      <c r="V572" s="1"/>
      <c r="W572" s="1"/>
      <c r="X572" s="1"/>
      <c r="Y572" s="1"/>
      <c r="AH572" s="1"/>
      <c r="AI572" s="1"/>
      <c r="AJ572" s="1"/>
      <c r="AK572" s="1"/>
      <c r="AL572" s="1"/>
      <c r="AM572" s="1"/>
      <c r="AN572" s="1"/>
    </row>
    <row r="573" spans="16:40" ht="15.75" customHeight="1" x14ac:dyDescent="0.25">
      <c r="P573" s="1"/>
      <c r="Q573" s="1"/>
      <c r="R573" s="1"/>
      <c r="S573" s="1"/>
      <c r="T573" s="1"/>
      <c r="U573" s="1"/>
      <c r="V573" s="1"/>
      <c r="W573" s="1"/>
      <c r="X573" s="1"/>
      <c r="Y573" s="1"/>
      <c r="AH573" s="1"/>
      <c r="AI573" s="1"/>
      <c r="AJ573" s="1"/>
      <c r="AK573" s="1"/>
      <c r="AL573" s="1"/>
      <c r="AM573" s="1"/>
      <c r="AN573" s="1"/>
    </row>
    <row r="574" spans="16:40" ht="15.75" customHeight="1" x14ac:dyDescent="0.25">
      <c r="P574" s="1"/>
      <c r="Q574" s="1"/>
      <c r="R574" s="1"/>
      <c r="S574" s="1"/>
      <c r="T574" s="1"/>
      <c r="U574" s="1"/>
      <c r="V574" s="1"/>
      <c r="W574" s="1"/>
      <c r="X574" s="1"/>
      <c r="Y574" s="1"/>
      <c r="AH574" s="1"/>
      <c r="AI574" s="1"/>
      <c r="AJ574" s="1"/>
      <c r="AK574" s="1"/>
      <c r="AL574" s="1"/>
      <c r="AM574" s="1"/>
      <c r="AN574" s="1"/>
    </row>
    <row r="575" spans="16:40" ht="15.75" customHeight="1" x14ac:dyDescent="0.25">
      <c r="P575" s="1"/>
      <c r="Q575" s="1"/>
      <c r="R575" s="1"/>
      <c r="S575" s="1"/>
      <c r="T575" s="1"/>
      <c r="U575" s="1"/>
      <c r="V575" s="1"/>
      <c r="W575" s="1"/>
      <c r="X575" s="1"/>
      <c r="Y575" s="1"/>
      <c r="AH575" s="1"/>
      <c r="AI575" s="1"/>
      <c r="AJ575" s="1"/>
      <c r="AK575" s="1"/>
      <c r="AL575" s="1"/>
      <c r="AM575" s="1"/>
      <c r="AN575" s="1"/>
    </row>
    <row r="576" spans="16:40" ht="15.75" customHeight="1" x14ac:dyDescent="0.25">
      <c r="P576" s="1"/>
      <c r="Q576" s="1"/>
      <c r="R576" s="1"/>
      <c r="S576" s="1"/>
      <c r="T576" s="1"/>
      <c r="U576" s="1"/>
      <c r="V576" s="1"/>
      <c r="W576" s="1"/>
      <c r="X576" s="1"/>
      <c r="Y576" s="1"/>
      <c r="AH576" s="1"/>
      <c r="AI576" s="1"/>
      <c r="AJ576" s="1"/>
      <c r="AK576" s="1"/>
      <c r="AL576" s="1"/>
      <c r="AM576" s="1"/>
      <c r="AN576" s="1"/>
    </row>
    <row r="577" spans="16:40" ht="15.75" customHeight="1" x14ac:dyDescent="0.25">
      <c r="P577" s="1"/>
      <c r="Q577" s="1"/>
      <c r="R577" s="1"/>
      <c r="S577" s="1"/>
      <c r="T577" s="1"/>
      <c r="U577" s="1"/>
      <c r="V577" s="1"/>
      <c r="W577" s="1"/>
      <c r="X577" s="1"/>
      <c r="Y577" s="1"/>
      <c r="AH577" s="1"/>
      <c r="AI577" s="1"/>
      <c r="AJ577" s="1"/>
      <c r="AK577" s="1"/>
      <c r="AL577" s="1"/>
      <c r="AM577" s="1"/>
      <c r="AN577" s="1"/>
    </row>
    <row r="578" spans="16:40" ht="15.75" customHeight="1" x14ac:dyDescent="0.25">
      <c r="P578" s="1"/>
      <c r="Q578" s="1"/>
      <c r="R578" s="1"/>
      <c r="S578" s="1"/>
      <c r="T578" s="1"/>
      <c r="U578" s="1"/>
      <c r="V578" s="1"/>
      <c r="W578" s="1"/>
      <c r="X578" s="1"/>
      <c r="Y578" s="1"/>
      <c r="AH578" s="1"/>
      <c r="AI578" s="1"/>
      <c r="AJ578" s="1"/>
      <c r="AK578" s="1"/>
      <c r="AL578" s="1"/>
      <c r="AM578" s="1"/>
      <c r="AN578" s="1"/>
    </row>
    <row r="579" spans="16:40" ht="15.75" customHeight="1" x14ac:dyDescent="0.25">
      <c r="P579" s="1"/>
      <c r="Q579" s="1"/>
      <c r="R579" s="1"/>
      <c r="S579" s="1"/>
      <c r="T579" s="1"/>
      <c r="U579" s="1"/>
      <c r="V579" s="1"/>
      <c r="W579" s="1"/>
      <c r="X579" s="1"/>
      <c r="Y579" s="1"/>
      <c r="AH579" s="1"/>
      <c r="AI579" s="1"/>
      <c r="AJ579" s="1"/>
      <c r="AK579" s="1"/>
      <c r="AL579" s="1"/>
      <c r="AM579" s="1"/>
      <c r="AN579" s="1"/>
    </row>
    <row r="580" spans="16:40" ht="15.75" customHeight="1" x14ac:dyDescent="0.25">
      <c r="P580" s="1"/>
      <c r="Q580" s="1"/>
      <c r="R580" s="1"/>
      <c r="S580" s="1"/>
      <c r="T580" s="1"/>
      <c r="U580" s="1"/>
      <c r="V580" s="1"/>
      <c r="W580" s="1"/>
      <c r="X580" s="1"/>
      <c r="Y580" s="1"/>
      <c r="AH580" s="1"/>
      <c r="AI580" s="1"/>
      <c r="AJ580" s="1"/>
      <c r="AK580" s="1"/>
      <c r="AL580" s="1"/>
      <c r="AM580" s="1"/>
      <c r="AN580" s="1"/>
    </row>
    <row r="581" spans="16:40" ht="15.75" customHeight="1" x14ac:dyDescent="0.25">
      <c r="P581" s="1"/>
      <c r="Q581" s="1"/>
      <c r="R581" s="1"/>
      <c r="S581" s="1"/>
      <c r="T581" s="1"/>
      <c r="U581" s="1"/>
      <c r="V581" s="1"/>
      <c r="W581" s="1"/>
      <c r="X581" s="1"/>
      <c r="Y581" s="1"/>
      <c r="AH581" s="1"/>
      <c r="AI581" s="1"/>
      <c r="AJ581" s="1"/>
      <c r="AK581" s="1"/>
      <c r="AL581" s="1"/>
      <c r="AM581" s="1"/>
      <c r="AN581" s="1"/>
    </row>
    <row r="582" spans="16:40" ht="15.75" customHeight="1" x14ac:dyDescent="0.25">
      <c r="P582" s="1"/>
      <c r="Q582" s="1"/>
      <c r="R582" s="1"/>
      <c r="S582" s="1"/>
      <c r="T582" s="1"/>
      <c r="U582" s="1"/>
      <c r="V582" s="1"/>
      <c r="W582" s="1"/>
      <c r="X582" s="1"/>
      <c r="Y582" s="1"/>
      <c r="AH582" s="1"/>
      <c r="AI582" s="1"/>
      <c r="AJ582" s="1"/>
      <c r="AK582" s="1"/>
      <c r="AL582" s="1"/>
      <c r="AM582" s="1"/>
      <c r="AN582" s="1"/>
    </row>
    <row r="583" spans="16:40" ht="15.75" customHeight="1" x14ac:dyDescent="0.25">
      <c r="P583" s="1"/>
      <c r="Q583" s="1"/>
      <c r="R583" s="1"/>
      <c r="S583" s="1"/>
      <c r="T583" s="1"/>
      <c r="U583" s="1"/>
      <c r="V583" s="1"/>
      <c r="W583" s="1"/>
      <c r="X583" s="1"/>
      <c r="Y583" s="1"/>
      <c r="AH583" s="1"/>
      <c r="AI583" s="1"/>
      <c r="AJ583" s="1"/>
      <c r="AK583" s="1"/>
      <c r="AL583" s="1"/>
      <c r="AM583" s="1"/>
      <c r="AN583" s="1"/>
    </row>
    <row r="584" spans="16:40" ht="15.75" customHeight="1" x14ac:dyDescent="0.25">
      <c r="P584" s="1"/>
      <c r="Q584" s="1"/>
      <c r="R584" s="1"/>
      <c r="S584" s="1"/>
      <c r="T584" s="1"/>
      <c r="U584" s="1"/>
      <c r="V584" s="1"/>
      <c r="W584" s="1"/>
      <c r="X584" s="1"/>
      <c r="Y584" s="1"/>
      <c r="AH584" s="1"/>
      <c r="AI584" s="1"/>
      <c r="AJ584" s="1"/>
      <c r="AK584" s="1"/>
      <c r="AL584" s="1"/>
      <c r="AM584" s="1"/>
      <c r="AN584" s="1"/>
    </row>
    <row r="585" spans="16:40" ht="15.75" customHeight="1" x14ac:dyDescent="0.25">
      <c r="P585" s="1"/>
      <c r="Q585" s="1"/>
      <c r="R585" s="1"/>
      <c r="S585" s="1"/>
      <c r="T585" s="1"/>
      <c r="U585" s="1"/>
      <c r="V585" s="1"/>
      <c r="W585" s="1"/>
      <c r="X585" s="1"/>
      <c r="Y585" s="1"/>
      <c r="AH585" s="1"/>
      <c r="AI585" s="1"/>
      <c r="AJ585" s="1"/>
      <c r="AK585" s="1"/>
      <c r="AL585" s="1"/>
      <c r="AM585" s="1"/>
      <c r="AN585" s="1"/>
    </row>
    <row r="586" spans="16:40" ht="15.75" customHeight="1" x14ac:dyDescent="0.25">
      <c r="P586" s="1"/>
      <c r="Q586" s="1"/>
      <c r="R586" s="1"/>
      <c r="S586" s="1"/>
      <c r="T586" s="1"/>
      <c r="U586" s="1"/>
      <c r="V586" s="1"/>
      <c r="W586" s="1"/>
      <c r="X586" s="1"/>
      <c r="Y586" s="1"/>
      <c r="AH586" s="1"/>
      <c r="AI586" s="1"/>
      <c r="AJ586" s="1"/>
      <c r="AK586" s="1"/>
      <c r="AL586" s="1"/>
      <c r="AM586" s="1"/>
      <c r="AN586" s="1"/>
    </row>
    <row r="587" spans="16:40" ht="15.75" customHeight="1" x14ac:dyDescent="0.25">
      <c r="P587" s="1"/>
      <c r="Q587" s="1"/>
      <c r="R587" s="1"/>
      <c r="S587" s="1"/>
      <c r="T587" s="1"/>
      <c r="U587" s="1"/>
      <c r="V587" s="1"/>
      <c r="W587" s="1"/>
      <c r="X587" s="1"/>
      <c r="Y587" s="1"/>
      <c r="AH587" s="1"/>
      <c r="AI587" s="1"/>
      <c r="AJ587" s="1"/>
      <c r="AK587" s="1"/>
      <c r="AL587" s="1"/>
      <c r="AM587" s="1"/>
      <c r="AN587" s="1"/>
    </row>
    <row r="588" spans="16:40" ht="15.75" customHeight="1" x14ac:dyDescent="0.25">
      <c r="P588" s="1"/>
      <c r="Q588" s="1"/>
      <c r="R588" s="1"/>
      <c r="S588" s="1"/>
      <c r="T588" s="1"/>
      <c r="U588" s="1"/>
      <c r="V588" s="1"/>
      <c r="W588" s="1"/>
      <c r="X588" s="1"/>
      <c r="Y588" s="1"/>
      <c r="AH588" s="1"/>
      <c r="AI588" s="1"/>
      <c r="AJ588" s="1"/>
      <c r="AK588" s="1"/>
      <c r="AL588" s="1"/>
      <c r="AM588" s="1"/>
      <c r="AN588" s="1"/>
    </row>
    <row r="589" spans="16:40" ht="15.75" customHeight="1" x14ac:dyDescent="0.25">
      <c r="P589" s="1"/>
      <c r="Q589" s="1"/>
      <c r="R589" s="1"/>
      <c r="S589" s="1"/>
      <c r="T589" s="1"/>
      <c r="U589" s="1"/>
      <c r="V589" s="1"/>
      <c r="W589" s="1"/>
      <c r="X589" s="1"/>
      <c r="Y589" s="1"/>
      <c r="AH589" s="1"/>
      <c r="AI589" s="1"/>
      <c r="AJ589" s="1"/>
      <c r="AK589" s="1"/>
      <c r="AL589" s="1"/>
      <c r="AM589" s="1"/>
      <c r="AN589" s="1"/>
    </row>
    <row r="590" spans="16:40" ht="15.75" customHeight="1" x14ac:dyDescent="0.25">
      <c r="P590" s="1"/>
      <c r="Q590" s="1"/>
      <c r="R590" s="1"/>
      <c r="S590" s="1"/>
      <c r="T590" s="1"/>
      <c r="U590" s="1"/>
      <c r="V590" s="1"/>
      <c r="W590" s="1"/>
      <c r="X590" s="1"/>
      <c r="Y590" s="1"/>
      <c r="AH590" s="1"/>
      <c r="AI590" s="1"/>
      <c r="AJ590" s="1"/>
      <c r="AK590" s="1"/>
      <c r="AL590" s="1"/>
      <c r="AM590" s="1"/>
      <c r="AN590" s="1"/>
    </row>
    <row r="591" spans="16:40" ht="15.75" customHeight="1" x14ac:dyDescent="0.25">
      <c r="P591" s="1"/>
      <c r="Q591" s="1"/>
      <c r="R591" s="1"/>
      <c r="S591" s="1"/>
      <c r="T591" s="1"/>
      <c r="U591" s="1"/>
      <c r="V591" s="1"/>
      <c r="W591" s="1"/>
      <c r="X591" s="1"/>
      <c r="Y591" s="1"/>
      <c r="AH591" s="1"/>
      <c r="AI591" s="1"/>
      <c r="AJ591" s="1"/>
      <c r="AK591" s="1"/>
      <c r="AL591" s="1"/>
      <c r="AM591" s="1"/>
      <c r="AN591" s="1"/>
    </row>
    <row r="592" spans="16:40" ht="15.75" customHeight="1" x14ac:dyDescent="0.25">
      <c r="P592" s="1"/>
      <c r="Q592" s="1"/>
      <c r="R592" s="1"/>
      <c r="S592" s="1"/>
      <c r="T592" s="1"/>
      <c r="U592" s="1"/>
      <c r="V592" s="1"/>
      <c r="W592" s="1"/>
      <c r="X592" s="1"/>
      <c r="Y592" s="1"/>
      <c r="AH592" s="1"/>
      <c r="AI592" s="1"/>
      <c r="AJ592" s="1"/>
      <c r="AK592" s="1"/>
      <c r="AL592" s="1"/>
      <c r="AM592" s="1"/>
      <c r="AN592" s="1"/>
    </row>
    <row r="593" spans="16:40" ht="15.75" customHeight="1" x14ac:dyDescent="0.25">
      <c r="P593" s="1"/>
      <c r="Q593" s="1"/>
      <c r="R593" s="1"/>
      <c r="S593" s="1"/>
      <c r="T593" s="1"/>
      <c r="U593" s="1"/>
      <c r="V593" s="1"/>
      <c r="W593" s="1"/>
      <c r="X593" s="1"/>
      <c r="Y593" s="1"/>
      <c r="AH593" s="1"/>
      <c r="AI593" s="1"/>
      <c r="AJ593" s="1"/>
      <c r="AK593" s="1"/>
      <c r="AL593" s="1"/>
      <c r="AM593" s="1"/>
      <c r="AN593" s="1"/>
    </row>
    <row r="594" spans="16:40" ht="15.75" customHeight="1" x14ac:dyDescent="0.25">
      <c r="P594" s="1"/>
      <c r="Q594" s="1"/>
      <c r="R594" s="1"/>
      <c r="S594" s="1"/>
      <c r="T594" s="1"/>
      <c r="U594" s="1"/>
      <c r="V594" s="1"/>
      <c r="W594" s="1"/>
      <c r="X594" s="1"/>
      <c r="Y594" s="1"/>
      <c r="AH594" s="1"/>
      <c r="AI594" s="1"/>
      <c r="AJ594" s="1"/>
      <c r="AK594" s="1"/>
      <c r="AL594" s="1"/>
      <c r="AM594" s="1"/>
      <c r="AN594" s="1"/>
    </row>
    <row r="595" spans="16:40" ht="15.75" customHeight="1" x14ac:dyDescent="0.25">
      <c r="P595" s="1"/>
      <c r="Q595" s="1"/>
      <c r="R595" s="1"/>
      <c r="S595" s="1"/>
      <c r="T595" s="1"/>
      <c r="U595" s="1"/>
      <c r="V595" s="1"/>
      <c r="W595" s="1"/>
      <c r="X595" s="1"/>
      <c r="Y595" s="1"/>
      <c r="AH595" s="1"/>
      <c r="AI595" s="1"/>
      <c r="AJ595" s="1"/>
      <c r="AK595" s="1"/>
      <c r="AL595" s="1"/>
      <c r="AM595" s="1"/>
      <c r="AN595" s="1"/>
    </row>
    <row r="596" spans="16:40" ht="15.75" customHeight="1" x14ac:dyDescent="0.25">
      <c r="P596" s="1"/>
      <c r="Q596" s="1"/>
      <c r="R596" s="1"/>
      <c r="S596" s="1"/>
      <c r="T596" s="1"/>
      <c r="U596" s="1"/>
      <c r="V596" s="1"/>
      <c r="W596" s="1"/>
      <c r="X596" s="1"/>
      <c r="Y596" s="1"/>
      <c r="AH596" s="1"/>
      <c r="AI596" s="1"/>
      <c r="AJ596" s="1"/>
      <c r="AK596" s="1"/>
      <c r="AL596" s="1"/>
      <c r="AM596" s="1"/>
      <c r="AN596" s="1"/>
    </row>
    <row r="597" spans="16:40" ht="15.75" customHeight="1" x14ac:dyDescent="0.25">
      <c r="P597" s="1"/>
      <c r="Q597" s="1"/>
      <c r="R597" s="1"/>
      <c r="S597" s="1"/>
      <c r="T597" s="1"/>
      <c r="U597" s="1"/>
      <c r="V597" s="1"/>
      <c r="W597" s="1"/>
      <c r="X597" s="1"/>
      <c r="Y597" s="1"/>
      <c r="AH597" s="1"/>
      <c r="AI597" s="1"/>
      <c r="AJ597" s="1"/>
      <c r="AK597" s="1"/>
      <c r="AL597" s="1"/>
      <c r="AM597" s="1"/>
      <c r="AN597" s="1"/>
    </row>
    <row r="598" spans="16:40" ht="15.75" customHeight="1" x14ac:dyDescent="0.25">
      <c r="P598" s="1"/>
      <c r="Q598" s="1"/>
      <c r="R598" s="1"/>
      <c r="S598" s="1"/>
      <c r="T598" s="1"/>
      <c r="U598" s="1"/>
      <c r="V598" s="1"/>
      <c r="W598" s="1"/>
      <c r="X598" s="1"/>
      <c r="Y598" s="1"/>
      <c r="AH598" s="1"/>
      <c r="AI598" s="1"/>
      <c r="AJ598" s="1"/>
      <c r="AK598" s="1"/>
      <c r="AL598" s="1"/>
      <c r="AM598" s="1"/>
      <c r="AN598" s="1"/>
    </row>
    <row r="599" spans="16:40" ht="15.75" customHeight="1" x14ac:dyDescent="0.25">
      <c r="P599" s="1"/>
      <c r="Q599" s="1"/>
      <c r="R599" s="1"/>
      <c r="S599" s="1"/>
      <c r="T599" s="1"/>
      <c r="U599" s="1"/>
      <c r="V599" s="1"/>
      <c r="W599" s="1"/>
      <c r="X599" s="1"/>
      <c r="Y599" s="1"/>
      <c r="AH599" s="1"/>
      <c r="AI599" s="1"/>
      <c r="AJ599" s="1"/>
      <c r="AK599" s="1"/>
      <c r="AL599" s="1"/>
      <c r="AM599" s="1"/>
      <c r="AN599" s="1"/>
    </row>
    <row r="600" spans="16:40" ht="15.75" customHeight="1" x14ac:dyDescent="0.25">
      <c r="P600" s="1"/>
      <c r="Q600" s="1"/>
      <c r="R600" s="1"/>
      <c r="S600" s="1"/>
      <c r="T600" s="1"/>
      <c r="U600" s="1"/>
      <c r="V600" s="1"/>
      <c r="W600" s="1"/>
      <c r="X600" s="1"/>
      <c r="Y600" s="1"/>
      <c r="AH600" s="1"/>
      <c r="AI600" s="1"/>
      <c r="AJ600" s="1"/>
      <c r="AK600" s="1"/>
      <c r="AL600" s="1"/>
      <c r="AM600" s="1"/>
      <c r="AN600" s="1"/>
    </row>
    <row r="601" spans="16:40" ht="15.75" customHeight="1" x14ac:dyDescent="0.25">
      <c r="P601" s="1"/>
      <c r="Q601" s="1"/>
      <c r="R601" s="1"/>
      <c r="S601" s="1"/>
      <c r="T601" s="1"/>
      <c r="U601" s="1"/>
      <c r="V601" s="1"/>
      <c r="W601" s="1"/>
      <c r="X601" s="1"/>
      <c r="Y601" s="1"/>
      <c r="AH601" s="1"/>
      <c r="AI601" s="1"/>
      <c r="AJ601" s="1"/>
      <c r="AK601" s="1"/>
      <c r="AL601" s="1"/>
      <c r="AM601" s="1"/>
      <c r="AN601" s="1"/>
    </row>
    <row r="602" spans="16:40" ht="15.75" customHeight="1" x14ac:dyDescent="0.25">
      <c r="P602" s="1"/>
      <c r="Q602" s="1"/>
      <c r="R602" s="1"/>
      <c r="S602" s="1"/>
      <c r="T602" s="1"/>
      <c r="U602" s="1"/>
      <c r="V602" s="1"/>
      <c r="W602" s="1"/>
      <c r="X602" s="1"/>
      <c r="Y602" s="1"/>
      <c r="AH602" s="1"/>
      <c r="AI602" s="1"/>
      <c r="AJ602" s="1"/>
      <c r="AK602" s="1"/>
      <c r="AL602" s="1"/>
      <c r="AM602" s="1"/>
      <c r="AN602" s="1"/>
    </row>
    <row r="603" spans="16:40" ht="15.75" customHeight="1" x14ac:dyDescent="0.25">
      <c r="P603" s="1"/>
      <c r="Q603" s="1"/>
      <c r="R603" s="1"/>
      <c r="S603" s="1"/>
      <c r="T603" s="1"/>
      <c r="U603" s="1"/>
      <c r="V603" s="1"/>
      <c r="W603" s="1"/>
      <c r="X603" s="1"/>
      <c r="Y603" s="1"/>
      <c r="AH603" s="1"/>
      <c r="AI603" s="1"/>
      <c r="AJ603" s="1"/>
      <c r="AK603" s="1"/>
      <c r="AL603" s="1"/>
      <c r="AM603" s="1"/>
      <c r="AN603" s="1"/>
    </row>
    <row r="604" spans="16:40" ht="15.75" customHeight="1" x14ac:dyDescent="0.25">
      <c r="P604" s="1"/>
      <c r="Q604" s="1"/>
      <c r="R604" s="1"/>
      <c r="S604" s="1"/>
      <c r="T604" s="1"/>
      <c r="U604" s="1"/>
      <c r="V604" s="1"/>
      <c r="W604" s="1"/>
      <c r="X604" s="1"/>
      <c r="Y604" s="1"/>
      <c r="AH604" s="1"/>
      <c r="AI604" s="1"/>
      <c r="AJ604" s="1"/>
      <c r="AK604" s="1"/>
      <c r="AL604" s="1"/>
      <c r="AM604" s="1"/>
      <c r="AN604" s="1"/>
    </row>
    <row r="605" spans="16:40" ht="15.75" customHeight="1" x14ac:dyDescent="0.25">
      <c r="P605" s="1"/>
      <c r="Q605" s="1"/>
      <c r="R605" s="1"/>
      <c r="S605" s="1"/>
      <c r="T605" s="1"/>
      <c r="U605" s="1"/>
      <c r="V605" s="1"/>
      <c r="W605" s="1"/>
      <c r="X605" s="1"/>
      <c r="Y605" s="1"/>
      <c r="AH605" s="1"/>
      <c r="AI605" s="1"/>
      <c r="AJ605" s="1"/>
      <c r="AK605" s="1"/>
      <c r="AL605" s="1"/>
      <c r="AM605" s="1"/>
      <c r="AN605" s="1"/>
    </row>
    <row r="606" spans="16:40" ht="15.75" customHeight="1" x14ac:dyDescent="0.25">
      <c r="P606" s="1"/>
      <c r="Q606" s="1"/>
      <c r="R606" s="1"/>
      <c r="S606" s="1"/>
      <c r="T606" s="1"/>
      <c r="U606" s="1"/>
      <c r="V606" s="1"/>
      <c r="W606" s="1"/>
      <c r="X606" s="1"/>
      <c r="Y606" s="1"/>
      <c r="AH606" s="1"/>
      <c r="AI606" s="1"/>
      <c r="AJ606" s="1"/>
      <c r="AK606" s="1"/>
      <c r="AL606" s="1"/>
      <c r="AM606" s="1"/>
      <c r="AN606" s="1"/>
    </row>
    <row r="607" spans="16:40" ht="15.75" customHeight="1" x14ac:dyDescent="0.25">
      <c r="P607" s="1"/>
      <c r="Q607" s="1"/>
      <c r="R607" s="1"/>
      <c r="S607" s="1"/>
      <c r="T607" s="1"/>
      <c r="U607" s="1"/>
      <c r="V607" s="1"/>
      <c r="W607" s="1"/>
      <c r="X607" s="1"/>
      <c r="Y607" s="1"/>
      <c r="AH607" s="1"/>
      <c r="AI607" s="1"/>
      <c r="AJ607" s="1"/>
      <c r="AK607" s="1"/>
      <c r="AL607" s="1"/>
      <c r="AM607" s="1"/>
      <c r="AN607" s="1"/>
    </row>
    <row r="608" spans="16:40" ht="15.75" customHeight="1" x14ac:dyDescent="0.25">
      <c r="P608" s="1"/>
      <c r="Q608" s="1"/>
      <c r="R608" s="1"/>
      <c r="S608" s="1"/>
      <c r="T608" s="1"/>
      <c r="U608" s="1"/>
      <c r="V608" s="1"/>
      <c r="W608" s="1"/>
      <c r="X608" s="1"/>
      <c r="Y608" s="1"/>
      <c r="AH608" s="1"/>
      <c r="AI608" s="1"/>
      <c r="AJ608" s="1"/>
      <c r="AK608" s="1"/>
      <c r="AL608" s="1"/>
      <c r="AM608" s="1"/>
      <c r="AN608" s="1"/>
    </row>
    <row r="609" spans="16:40" ht="15.75" customHeight="1" x14ac:dyDescent="0.25">
      <c r="P609" s="1"/>
      <c r="Q609" s="1"/>
      <c r="R609" s="1"/>
      <c r="S609" s="1"/>
      <c r="T609" s="1"/>
      <c r="U609" s="1"/>
      <c r="V609" s="1"/>
      <c r="W609" s="1"/>
      <c r="X609" s="1"/>
      <c r="Y609" s="1"/>
      <c r="AH609" s="1"/>
      <c r="AI609" s="1"/>
      <c r="AJ609" s="1"/>
      <c r="AK609" s="1"/>
      <c r="AL609" s="1"/>
      <c r="AM609" s="1"/>
      <c r="AN609" s="1"/>
    </row>
    <row r="610" spans="16:40" ht="15.75" customHeight="1" x14ac:dyDescent="0.25">
      <c r="P610" s="1"/>
      <c r="Q610" s="1"/>
      <c r="R610" s="1"/>
      <c r="S610" s="1"/>
      <c r="T610" s="1"/>
      <c r="U610" s="1"/>
      <c r="V610" s="1"/>
      <c r="W610" s="1"/>
      <c r="X610" s="1"/>
      <c r="Y610" s="1"/>
      <c r="AH610" s="1"/>
      <c r="AI610" s="1"/>
      <c r="AJ610" s="1"/>
      <c r="AK610" s="1"/>
      <c r="AL610" s="1"/>
      <c r="AM610" s="1"/>
      <c r="AN610" s="1"/>
    </row>
    <row r="611" spans="16:40" ht="15.75" customHeight="1" x14ac:dyDescent="0.25">
      <c r="P611" s="1"/>
      <c r="Q611" s="1"/>
      <c r="R611" s="1"/>
      <c r="S611" s="1"/>
      <c r="T611" s="1"/>
      <c r="U611" s="1"/>
      <c r="V611" s="1"/>
      <c r="W611" s="1"/>
      <c r="X611" s="1"/>
      <c r="Y611" s="1"/>
      <c r="AH611" s="1"/>
      <c r="AI611" s="1"/>
      <c r="AJ611" s="1"/>
      <c r="AK611" s="1"/>
      <c r="AL611" s="1"/>
      <c r="AM611" s="1"/>
      <c r="AN611" s="1"/>
    </row>
    <row r="612" spans="16:40" ht="15.75" customHeight="1" x14ac:dyDescent="0.25">
      <c r="P612" s="1"/>
      <c r="Q612" s="1"/>
      <c r="R612" s="1"/>
      <c r="S612" s="1"/>
      <c r="T612" s="1"/>
      <c r="U612" s="1"/>
      <c r="V612" s="1"/>
      <c r="W612" s="1"/>
      <c r="X612" s="1"/>
      <c r="Y612" s="1"/>
      <c r="AH612" s="1"/>
      <c r="AI612" s="1"/>
      <c r="AJ612" s="1"/>
      <c r="AK612" s="1"/>
      <c r="AL612" s="1"/>
      <c r="AM612" s="1"/>
      <c r="AN612" s="1"/>
    </row>
    <row r="613" spans="16:40" ht="15.75" customHeight="1" x14ac:dyDescent="0.25">
      <c r="P613" s="1"/>
      <c r="Q613" s="1"/>
      <c r="R613" s="1"/>
      <c r="S613" s="1"/>
      <c r="T613" s="1"/>
      <c r="U613" s="1"/>
      <c r="V613" s="1"/>
      <c r="W613" s="1"/>
      <c r="X613" s="1"/>
      <c r="Y613" s="1"/>
      <c r="AH613" s="1"/>
      <c r="AI613" s="1"/>
      <c r="AJ613" s="1"/>
      <c r="AK613" s="1"/>
      <c r="AL613" s="1"/>
      <c r="AM613" s="1"/>
      <c r="AN613" s="1"/>
    </row>
    <row r="614" spans="16:40" ht="15.75" customHeight="1" x14ac:dyDescent="0.25">
      <c r="P614" s="1"/>
      <c r="Q614" s="1"/>
      <c r="R614" s="1"/>
      <c r="S614" s="1"/>
      <c r="T614" s="1"/>
      <c r="U614" s="1"/>
      <c r="V614" s="1"/>
      <c r="W614" s="1"/>
      <c r="X614" s="1"/>
      <c r="Y614" s="1"/>
      <c r="AH614" s="1"/>
      <c r="AI614" s="1"/>
      <c r="AJ614" s="1"/>
      <c r="AK614" s="1"/>
      <c r="AL614" s="1"/>
      <c r="AM614" s="1"/>
      <c r="AN614" s="1"/>
    </row>
    <row r="615" spans="16:40" ht="15.75" customHeight="1" x14ac:dyDescent="0.25">
      <c r="P615" s="1"/>
      <c r="Q615" s="1"/>
      <c r="R615" s="1"/>
      <c r="S615" s="1"/>
      <c r="T615" s="1"/>
      <c r="U615" s="1"/>
      <c r="V615" s="1"/>
      <c r="W615" s="1"/>
      <c r="X615" s="1"/>
      <c r="Y615" s="1"/>
      <c r="AH615" s="1"/>
      <c r="AI615" s="1"/>
      <c r="AJ615" s="1"/>
      <c r="AK615" s="1"/>
      <c r="AL615" s="1"/>
      <c r="AM615" s="1"/>
      <c r="AN615" s="1"/>
    </row>
    <row r="616" spans="16:40" ht="15.75" customHeight="1" x14ac:dyDescent="0.25">
      <c r="P616" s="1"/>
      <c r="Q616" s="1"/>
      <c r="R616" s="1"/>
      <c r="S616" s="1"/>
      <c r="T616" s="1"/>
      <c r="U616" s="1"/>
      <c r="V616" s="1"/>
      <c r="W616" s="1"/>
      <c r="X616" s="1"/>
      <c r="Y616" s="1"/>
      <c r="AH616" s="1"/>
      <c r="AI616" s="1"/>
      <c r="AJ616" s="1"/>
      <c r="AK616" s="1"/>
      <c r="AL616" s="1"/>
      <c r="AM616" s="1"/>
      <c r="AN616" s="1"/>
    </row>
    <row r="617" spans="16:40" ht="15.75" customHeight="1" x14ac:dyDescent="0.25">
      <c r="P617" s="1"/>
      <c r="Q617" s="1"/>
      <c r="R617" s="1"/>
      <c r="S617" s="1"/>
      <c r="T617" s="1"/>
      <c r="U617" s="1"/>
      <c r="V617" s="1"/>
      <c r="W617" s="1"/>
      <c r="X617" s="1"/>
      <c r="Y617" s="1"/>
      <c r="AH617" s="1"/>
      <c r="AI617" s="1"/>
      <c r="AJ617" s="1"/>
      <c r="AK617" s="1"/>
      <c r="AL617" s="1"/>
      <c r="AM617" s="1"/>
      <c r="AN617" s="1"/>
    </row>
    <row r="618" spans="16:40" ht="15.75" customHeight="1" x14ac:dyDescent="0.25">
      <c r="P618" s="1"/>
      <c r="Q618" s="1"/>
      <c r="R618" s="1"/>
      <c r="S618" s="1"/>
      <c r="T618" s="1"/>
      <c r="U618" s="1"/>
      <c r="V618" s="1"/>
      <c r="W618" s="1"/>
      <c r="X618" s="1"/>
      <c r="Y618" s="1"/>
      <c r="AH618" s="1"/>
      <c r="AI618" s="1"/>
      <c r="AJ618" s="1"/>
      <c r="AK618" s="1"/>
      <c r="AL618" s="1"/>
      <c r="AM618" s="1"/>
      <c r="AN618" s="1"/>
    </row>
    <row r="619" spans="16:40" ht="15.75" customHeight="1" x14ac:dyDescent="0.25">
      <c r="P619" s="1"/>
      <c r="Q619" s="1"/>
      <c r="R619" s="1"/>
      <c r="S619" s="1"/>
      <c r="T619" s="1"/>
      <c r="U619" s="1"/>
      <c r="V619" s="1"/>
      <c r="W619" s="1"/>
      <c r="X619" s="1"/>
      <c r="Y619" s="1"/>
      <c r="AH619" s="1"/>
      <c r="AI619" s="1"/>
      <c r="AJ619" s="1"/>
      <c r="AK619" s="1"/>
      <c r="AL619" s="1"/>
      <c r="AM619" s="1"/>
      <c r="AN619" s="1"/>
    </row>
    <row r="620" spans="16:40" ht="15.75" customHeight="1" x14ac:dyDescent="0.25">
      <c r="P620" s="1"/>
      <c r="Q620" s="1"/>
      <c r="R620" s="1"/>
      <c r="S620" s="1"/>
      <c r="T620" s="1"/>
      <c r="U620" s="1"/>
      <c r="V620" s="1"/>
      <c r="W620" s="1"/>
      <c r="X620" s="1"/>
      <c r="Y620" s="1"/>
      <c r="AH620" s="1"/>
      <c r="AI620" s="1"/>
      <c r="AJ620" s="1"/>
      <c r="AK620" s="1"/>
      <c r="AL620" s="1"/>
      <c r="AM620" s="1"/>
      <c r="AN620" s="1"/>
    </row>
    <row r="621" spans="16:40" ht="15.75" customHeight="1" x14ac:dyDescent="0.25">
      <c r="P621" s="1"/>
      <c r="Q621" s="1"/>
      <c r="R621" s="1"/>
      <c r="S621" s="1"/>
      <c r="T621" s="1"/>
      <c r="U621" s="1"/>
      <c r="V621" s="1"/>
      <c r="W621" s="1"/>
      <c r="X621" s="1"/>
      <c r="Y621" s="1"/>
      <c r="AH621" s="1"/>
      <c r="AI621" s="1"/>
      <c r="AJ621" s="1"/>
      <c r="AK621" s="1"/>
      <c r="AL621" s="1"/>
      <c r="AM621" s="1"/>
      <c r="AN621" s="1"/>
    </row>
    <row r="622" spans="16:40" ht="15.75" customHeight="1" x14ac:dyDescent="0.25">
      <c r="P622" s="1"/>
      <c r="Q622" s="1"/>
      <c r="R622" s="1"/>
      <c r="S622" s="1"/>
      <c r="T622" s="1"/>
      <c r="U622" s="1"/>
      <c r="V622" s="1"/>
      <c r="W622" s="1"/>
      <c r="X622" s="1"/>
      <c r="Y622" s="1"/>
      <c r="AH622" s="1"/>
      <c r="AI622" s="1"/>
      <c r="AJ622" s="1"/>
      <c r="AK622" s="1"/>
      <c r="AL622" s="1"/>
      <c r="AM622" s="1"/>
      <c r="AN622" s="1"/>
    </row>
    <row r="623" spans="16:40" ht="15.75" customHeight="1" x14ac:dyDescent="0.25">
      <c r="P623" s="1"/>
      <c r="Q623" s="1"/>
      <c r="R623" s="1"/>
      <c r="S623" s="1"/>
      <c r="T623" s="1"/>
      <c r="U623" s="1"/>
      <c r="V623" s="1"/>
      <c r="W623" s="1"/>
      <c r="X623" s="1"/>
      <c r="Y623" s="1"/>
      <c r="AH623" s="1"/>
      <c r="AI623" s="1"/>
      <c r="AJ623" s="1"/>
      <c r="AK623" s="1"/>
      <c r="AL623" s="1"/>
      <c r="AM623" s="1"/>
      <c r="AN623" s="1"/>
    </row>
    <row r="624" spans="16:40" ht="15.75" customHeight="1" x14ac:dyDescent="0.25">
      <c r="P624" s="1"/>
      <c r="Q624" s="1"/>
      <c r="R624" s="1"/>
      <c r="S624" s="1"/>
      <c r="T624" s="1"/>
      <c r="U624" s="1"/>
      <c r="V624" s="1"/>
      <c r="W624" s="1"/>
      <c r="X624" s="1"/>
      <c r="Y624" s="1"/>
      <c r="AH624" s="1"/>
      <c r="AI624" s="1"/>
      <c r="AJ624" s="1"/>
      <c r="AK624" s="1"/>
      <c r="AL624" s="1"/>
      <c r="AM624" s="1"/>
      <c r="AN624" s="1"/>
    </row>
    <row r="625" spans="16:40" ht="15.75" customHeight="1" x14ac:dyDescent="0.25">
      <c r="P625" s="1"/>
      <c r="Q625" s="1"/>
      <c r="R625" s="1"/>
      <c r="S625" s="1"/>
      <c r="T625" s="1"/>
      <c r="U625" s="1"/>
      <c r="V625" s="1"/>
      <c r="W625" s="1"/>
      <c r="X625" s="1"/>
      <c r="Y625" s="1"/>
      <c r="AH625" s="1"/>
      <c r="AI625" s="1"/>
      <c r="AJ625" s="1"/>
      <c r="AK625" s="1"/>
      <c r="AL625" s="1"/>
      <c r="AM625" s="1"/>
      <c r="AN625" s="1"/>
    </row>
    <row r="626" spans="16:40" ht="15.75" customHeight="1" x14ac:dyDescent="0.25">
      <c r="P626" s="1"/>
      <c r="Q626" s="1"/>
      <c r="R626" s="1"/>
      <c r="S626" s="1"/>
      <c r="T626" s="1"/>
      <c r="U626" s="1"/>
      <c r="V626" s="1"/>
      <c r="W626" s="1"/>
      <c r="X626" s="1"/>
      <c r="Y626" s="1"/>
      <c r="AH626" s="1"/>
      <c r="AI626" s="1"/>
      <c r="AJ626" s="1"/>
      <c r="AK626" s="1"/>
      <c r="AL626" s="1"/>
      <c r="AM626" s="1"/>
      <c r="AN626" s="1"/>
    </row>
    <row r="627" spans="16:40" ht="15.75" customHeight="1" x14ac:dyDescent="0.25">
      <c r="P627" s="1"/>
      <c r="Q627" s="1"/>
      <c r="R627" s="1"/>
      <c r="S627" s="1"/>
      <c r="T627" s="1"/>
      <c r="U627" s="1"/>
      <c r="V627" s="1"/>
      <c r="W627" s="1"/>
      <c r="X627" s="1"/>
      <c r="Y627" s="1"/>
      <c r="AH627" s="1"/>
      <c r="AI627" s="1"/>
      <c r="AJ627" s="1"/>
      <c r="AK627" s="1"/>
      <c r="AL627" s="1"/>
      <c r="AM627" s="1"/>
      <c r="AN627" s="1"/>
    </row>
    <row r="628" spans="16:40" ht="15.75" customHeight="1" x14ac:dyDescent="0.25">
      <c r="P628" s="1"/>
      <c r="Q628" s="1"/>
      <c r="R628" s="1"/>
      <c r="S628" s="1"/>
      <c r="T628" s="1"/>
      <c r="U628" s="1"/>
      <c r="V628" s="1"/>
      <c r="W628" s="1"/>
      <c r="X628" s="1"/>
      <c r="Y628" s="1"/>
      <c r="AH628" s="1"/>
      <c r="AI628" s="1"/>
      <c r="AJ628" s="1"/>
      <c r="AK628" s="1"/>
      <c r="AL628" s="1"/>
      <c r="AM628" s="1"/>
      <c r="AN628" s="1"/>
    </row>
    <row r="629" spans="16:40" ht="15.75" customHeight="1" x14ac:dyDescent="0.25">
      <c r="P629" s="1"/>
      <c r="Q629" s="1"/>
      <c r="R629" s="1"/>
      <c r="S629" s="1"/>
      <c r="T629" s="1"/>
      <c r="U629" s="1"/>
      <c r="V629" s="1"/>
      <c r="W629" s="1"/>
      <c r="X629" s="1"/>
      <c r="Y629" s="1"/>
      <c r="AH629" s="1"/>
      <c r="AI629" s="1"/>
      <c r="AJ629" s="1"/>
      <c r="AK629" s="1"/>
      <c r="AL629" s="1"/>
      <c r="AM629" s="1"/>
      <c r="AN629" s="1"/>
    </row>
    <row r="630" spans="16:40" ht="15.75" customHeight="1" x14ac:dyDescent="0.25">
      <c r="P630" s="1"/>
      <c r="Q630" s="1"/>
      <c r="R630" s="1"/>
      <c r="S630" s="1"/>
      <c r="T630" s="1"/>
      <c r="U630" s="1"/>
      <c r="V630" s="1"/>
      <c r="W630" s="1"/>
      <c r="X630" s="1"/>
      <c r="Y630" s="1"/>
      <c r="AH630" s="1"/>
      <c r="AI630" s="1"/>
      <c r="AJ630" s="1"/>
      <c r="AK630" s="1"/>
      <c r="AL630" s="1"/>
      <c r="AM630" s="1"/>
      <c r="AN630" s="1"/>
    </row>
    <row r="631" spans="16:40" ht="15.75" customHeight="1" x14ac:dyDescent="0.25">
      <c r="P631" s="1"/>
      <c r="Q631" s="1"/>
      <c r="R631" s="1"/>
      <c r="S631" s="1"/>
      <c r="T631" s="1"/>
      <c r="U631" s="1"/>
      <c r="V631" s="1"/>
      <c r="W631" s="1"/>
      <c r="X631" s="1"/>
      <c r="Y631" s="1"/>
      <c r="AH631" s="1"/>
      <c r="AI631" s="1"/>
      <c r="AJ631" s="1"/>
      <c r="AK631" s="1"/>
      <c r="AL631" s="1"/>
      <c r="AM631" s="1"/>
      <c r="AN631" s="1"/>
    </row>
    <row r="632" spans="16:40" ht="15.75" customHeight="1" x14ac:dyDescent="0.25">
      <c r="P632" s="1"/>
      <c r="Q632" s="1"/>
      <c r="R632" s="1"/>
      <c r="S632" s="1"/>
      <c r="T632" s="1"/>
      <c r="U632" s="1"/>
      <c r="V632" s="1"/>
      <c r="W632" s="1"/>
      <c r="X632" s="1"/>
      <c r="Y632" s="1"/>
      <c r="AH632" s="1"/>
      <c r="AI632" s="1"/>
      <c r="AJ632" s="1"/>
      <c r="AK632" s="1"/>
      <c r="AL632" s="1"/>
      <c r="AM632" s="1"/>
      <c r="AN632" s="1"/>
    </row>
    <row r="633" spans="16:40" ht="15.75" customHeight="1" x14ac:dyDescent="0.25">
      <c r="P633" s="1"/>
      <c r="Q633" s="1"/>
      <c r="R633" s="1"/>
      <c r="S633" s="1"/>
      <c r="T633" s="1"/>
      <c r="U633" s="1"/>
      <c r="V633" s="1"/>
      <c r="W633" s="1"/>
      <c r="X633" s="1"/>
      <c r="Y633" s="1"/>
      <c r="AH633" s="1"/>
      <c r="AI633" s="1"/>
      <c r="AJ633" s="1"/>
      <c r="AK633" s="1"/>
      <c r="AL633" s="1"/>
      <c r="AM633" s="1"/>
      <c r="AN633" s="1"/>
    </row>
    <row r="634" spans="16:40" ht="15.75" customHeight="1" x14ac:dyDescent="0.25">
      <c r="P634" s="1"/>
      <c r="Q634" s="1"/>
      <c r="R634" s="1"/>
      <c r="S634" s="1"/>
      <c r="T634" s="1"/>
      <c r="U634" s="1"/>
      <c r="V634" s="1"/>
      <c r="W634" s="1"/>
      <c r="X634" s="1"/>
      <c r="Y634" s="1"/>
      <c r="AH634" s="1"/>
      <c r="AI634" s="1"/>
      <c r="AJ634" s="1"/>
      <c r="AK634" s="1"/>
      <c r="AL634" s="1"/>
      <c r="AM634" s="1"/>
      <c r="AN634" s="1"/>
    </row>
    <row r="635" spans="16:40" ht="15.75" customHeight="1" x14ac:dyDescent="0.25">
      <c r="P635" s="1"/>
      <c r="Q635" s="1"/>
      <c r="R635" s="1"/>
      <c r="S635" s="1"/>
      <c r="T635" s="1"/>
      <c r="U635" s="1"/>
      <c r="V635" s="1"/>
      <c r="W635" s="1"/>
      <c r="X635" s="1"/>
      <c r="Y635" s="1"/>
      <c r="AH635" s="1"/>
      <c r="AI635" s="1"/>
      <c r="AJ635" s="1"/>
      <c r="AK635" s="1"/>
      <c r="AL635" s="1"/>
      <c r="AM635" s="1"/>
      <c r="AN635" s="1"/>
    </row>
    <row r="636" spans="16:40" ht="15.75" customHeight="1" x14ac:dyDescent="0.25">
      <c r="P636" s="1"/>
      <c r="Q636" s="1"/>
      <c r="R636" s="1"/>
      <c r="S636" s="1"/>
      <c r="T636" s="1"/>
      <c r="U636" s="1"/>
      <c r="V636" s="1"/>
      <c r="W636" s="1"/>
      <c r="X636" s="1"/>
      <c r="Y636" s="1"/>
      <c r="AH636" s="1"/>
      <c r="AI636" s="1"/>
      <c r="AJ636" s="1"/>
      <c r="AK636" s="1"/>
      <c r="AL636" s="1"/>
      <c r="AM636" s="1"/>
      <c r="AN636" s="1"/>
    </row>
    <row r="637" spans="16:40" ht="15.75" customHeight="1" x14ac:dyDescent="0.25">
      <c r="P637" s="1"/>
      <c r="Q637" s="1"/>
      <c r="R637" s="1"/>
      <c r="S637" s="1"/>
      <c r="T637" s="1"/>
      <c r="U637" s="1"/>
      <c r="V637" s="1"/>
      <c r="W637" s="1"/>
      <c r="X637" s="1"/>
      <c r="Y637" s="1"/>
      <c r="AH637" s="1"/>
      <c r="AI637" s="1"/>
      <c r="AJ637" s="1"/>
      <c r="AK637" s="1"/>
      <c r="AL637" s="1"/>
      <c r="AM637" s="1"/>
      <c r="AN637" s="1"/>
    </row>
    <row r="638" spans="16:40" ht="15.75" customHeight="1" x14ac:dyDescent="0.25">
      <c r="P638" s="1"/>
      <c r="Q638" s="1"/>
      <c r="R638" s="1"/>
      <c r="S638" s="1"/>
      <c r="T638" s="1"/>
      <c r="U638" s="1"/>
      <c r="V638" s="1"/>
      <c r="W638" s="1"/>
      <c r="X638" s="1"/>
      <c r="Y638" s="1"/>
      <c r="AH638" s="1"/>
      <c r="AI638" s="1"/>
      <c r="AJ638" s="1"/>
      <c r="AK638" s="1"/>
      <c r="AL638" s="1"/>
      <c r="AM638" s="1"/>
      <c r="AN638" s="1"/>
    </row>
    <row r="639" spans="16:40" ht="15.75" customHeight="1" x14ac:dyDescent="0.25">
      <c r="P639" s="1"/>
      <c r="Q639" s="1"/>
      <c r="R639" s="1"/>
      <c r="S639" s="1"/>
      <c r="T639" s="1"/>
      <c r="U639" s="1"/>
      <c r="V639" s="1"/>
      <c r="W639" s="1"/>
      <c r="X639" s="1"/>
      <c r="Y639" s="1"/>
      <c r="AH639" s="1"/>
      <c r="AI639" s="1"/>
      <c r="AJ639" s="1"/>
      <c r="AK639" s="1"/>
      <c r="AL639" s="1"/>
      <c r="AM639" s="1"/>
      <c r="AN639" s="1"/>
    </row>
    <row r="640" spans="16:40" ht="15.75" customHeight="1" x14ac:dyDescent="0.25">
      <c r="P640" s="1"/>
      <c r="Q640" s="1"/>
      <c r="R640" s="1"/>
      <c r="S640" s="1"/>
      <c r="T640" s="1"/>
      <c r="U640" s="1"/>
      <c r="V640" s="1"/>
      <c r="W640" s="1"/>
      <c r="X640" s="1"/>
      <c r="Y640" s="1"/>
      <c r="AH640" s="1"/>
      <c r="AI640" s="1"/>
      <c r="AJ640" s="1"/>
      <c r="AK640" s="1"/>
      <c r="AL640" s="1"/>
      <c r="AM640" s="1"/>
      <c r="AN640" s="1"/>
    </row>
    <row r="641" spans="16:40" ht="15.75" customHeight="1" x14ac:dyDescent="0.25">
      <c r="P641" s="1"/>
      <c r="Q641" s="1"/>
      <c r="R641" s="1"/>
      <c r="S641" s="1"/>
      <c r="T641" s="1"/>
      <c r="U641" s="1"/>
      <c r="V641" s="1"/>
      <c r="W641" s="1"/>
      <c r="X641" s="1"/>
      <c r="Y641" s="1"/>
      <c r="AH641" s="1"/>
      <c r="AI641" s="1"/>
      <c r="AJ641" s="1"/>
      <c r="AK641" s="1"/>
      <c r="AL641" s="1"/>
      <c r="AM641" s="1"/>
      <c r="AN641" s="1"/>
    </row>
    <row r="642" spans="16:40" ht="15.75" customHeight="1" x14ac:dyDescent="0.25">
      <c r="P642" s="1"/>
      <c r="Q642" s="1"/>
      <c r="R642" s="1"/>
      <c r="S642" s="1"/>
      <c r="T642" s="1"/>
      <c r="U642" s="1"/>
      <c r="V642" s="1"/>
      <c r="W642" s="1"/>
      <c r="X642" s="1"/>
      <c r="Y642" s="1"/>
      <c r="AH642" s="1"/>
      <c r="AI642" s="1"/>
      <c r="AJ642" s="1"/>
      <c r="AK642" s="1"/>
      <c r="AL642" s="1"/>
      <c r="AM642" s="1"/>
      <c r="AN642" s="1"/>
    </row>
    <row r="643" spans="16:40" ht="15.75" customHeight="1" x14ac:dyDescent="0.25">
      <c r="P643" s="1"/>
      <c r="Q643" s="1"/>
      <c r="R643" s="1"/>
      <c r="S643" s="1"/>
      <c r="T643" s="1"/>
      <c r="U643" s="1"/>
      <c r="V643" s="1"/>
      <c r="W643" s="1"/>
      <c r="X643" s="1"/>
      <c r="Y643" s="1"/>
      <c r="AH643" s="1"/>
      <c r="AI643" s="1"/>
      <c r="AJ643" s="1"/>
      <c r="AK643" s="1"/>
      <c r="AL643" s="1"/>
      <c r="AM643" s="1"/>
      <c r="AN643" s="1"/>
    </row>
    <row r="644" spans="16:40" ht="15.75" customHeight="1" x14ac:dyDescent="0.25">
      <c r="P644" s="1"/>
      <c r="Q644" s="1"/>
      <c r="R644" s="1"/>
      <c r="S644" s="1"/>
      <c r="T644" s="1"/>
      <c r="U644" s="1"/>
      <c r="V644" s="1"/>
      <c r="W644" s="1"/>
      <c r="X644" s="1"/>
      <c r="Y644" s="1"/>
      <c r="AH644" s="1"/>
      <c r="AI644" s="1"/>
      <c r="AJ644" s="1"/>
      <c r="AK644" s="1"/>
      <c r="AL644" s="1"/>
      <c r="AM644" s="1"/>
      <c r="AN644" s="1"/>
    </row>
    <row r="645" spans="16:40" ht="15.75" customHeight="1" x14ac:dyDescent="0.25">
      <c r="P645" s="1"/>
      <c r="Q645" s="1"/>
      <c r="R645" s="1"/>
      <c r="S645" s="1"/>
      <c r="T645" s="1"/>
      <c r="U645" s="1"/>
      <c r="V645" s="1"/>
      <c r="W645" s="1"/>
      <c r="X645" s="1"/>
      <c r="Y645" s="1"/>
      <c r="AH645" s="1"/>
      <c r="AI645" s="1"/>
      <c r="AJ645" s="1"/>
      <c r="AK645" s="1"/>
      <c r="AL645" s="1"/>
      <c r="AM645" s="1"/>
      <c r="AN645" s="1"/>
    </row>
    <row r="646" spans="16:40" ht="15.75" customHeight="1" x14ac:dyDescent="0.25">
      <c r="P646" s="1"/>
      <c r="Q646" s="1"/>
      <c r="R646" s="1"/>
      <c r="S646" s="1"/>
      <c r="T646" s="1"/>
      <c r="U646" s="1"/>
      <c r="V646" s="1"/>
      <c r="W646" s="1"/>
      <c r="X646" s="1"/>
      <c r="Y646" s="1"/>
      <c r="AH646" s="1"/>
      <c r="AI646" s="1"/>
      <c r="AJ646" s="1"/>
      <c r="AK646" s="1"/>
      <c r="AL646" s="1"/>
      <c r="AM646" s="1"/>
      <c r="AN646" s="1"/>
    </row>
    <row r="647" spans="16:40" ht="15.75" customHeight="1" x14ac:dyDescent="0.25">
      <c r="P647" s="1"/>
      <c r="Q647" s="1"/>
      <c r="R647" s="1"/>
      <c r="S647" s="1"/>
      <c r="T647" s="1"/>
      <c r="U647" s="1"/>
      <c r="V647" s="1"/>
      <c r="W647" s="1"/>
      <c r="X647" s="1"/>
      <c r="Y647" s="1"/>
      <c r="AH647" s="1"/>
      <c r="AI647" s="1"/>
      <c r="AJ647" s="1"/>
      <c r="AK647" s="1"/>
      <c r="AL647" s="1"/>
      <c r="AM647" s="1"/>
      <c r="AN647" s="1"/>
    </row>
    <row r="648" spans="16:40" ht="15.75" customHeight="1" x14ac:dyDescent="0.25">
      <c r="P648" s="1"/>
      <c r="Q648" s="1"/>
      <c r="R648" s="1"/>
      <c r="S648" s="1"/>
      <c r="T648" s="1"/>
      <c r="U648" s="1"/>
      <c r="V648" s="1"/>
      <c r="W648" s="1"/>
      <c r="X648" s="1"/>
      <c r="Y648" s="1"/>
      <c r="AH648" s="1"/>
      <c r="AI648" s="1"/>
      <c r="AJ648" s="1"/>
      <c r="AK648" s="1"/>
      <c r="AL648" s="1"/>
      <c r="AM648" s="1"/>
      <c r="AN648" s="1"/>
    </row>
    <row r="649" spans="16:40" ht="15.75" customHeight="1" x14ac:dyDescent="0.25">
      <c r="P649" s="1"/>
      <c r="Q649" s="1"/>
      <c r="R649" s="1"/>
      <c r="S649" s="1"/>
      <c r="T649" s="1"/>
      <c r="U649" s="1"/>
      <c r="V649" s="1"/>
      <c r="W649" s="1"/>
      <c r="X649" s="1"/>
      <c r="Y649" s="1"/>
      <c r="AH649" s="1"/>
      <c r="AI649" s="1"/>
      <c r="AJ649" s="1"/>
      <c r="AK649" s="1"/>
      <c r="AL649" s="1"/>
      <c r="AM649" s="1"/>
      <c r="AN649" s="1"/>
    </row>
    <row r="650" spans="16:40" ht="15.75" customHeight="1" x14ac:dyDescent="0.25">
      <c r="P650" s="1"/>
      <c r="Q650" s="1"/>
      <c r="R650" s="1"/>
      <c r="S650" s="1"/>
      <c r="T650" s="1"/>
      <c r="U650" s="1"/>
      <c r="V650" s="1"/>
      <c r="W650" s="1"/>
      <c r="X650" s="1"/>
      <c r="Y650" s="1"/>
      <c r="AH650" s="1"/>
      <c r="AI650" s="1"/>
      <c r="AJ650" s="1"/>
      <c r="AK650" s="1"/>
      <c r="AL650" s="1"/>
      <c r="AM650" s="1"/>
      <c r="AN650" s="1"/>
    </row>
    <row r="651" spans="16:40" ht="15.75" customHeight="1" x14ac:dyDescent="0.25">
      <c r="P651" s="1"/>
      <c r="Q651" s="1"/>
      <c r="R651" s="1"/>
      <c r="S651" s="1"/>
      <c r="T651" s="1"/>
      <c r="U651" s="1"/>
      <c r="V651" s="1"/>
      <c r="W651" s="1"/>
      <c r="X651" s="1"/>
      <c r="Y651" s="1"/>
      <c r="AH651" s="1"/>
      <c r="AI651" s="1"/>
      <c r="AJ651" s="1"/>
      <c r="AK651" s="1"/>
      <c r="AL651" s="1"/>
      <c r="AM651" s="1"/>
      <c r="AN651" s="1"/>
    </row>
    <row r="652" spans="16:40" ht="15.75" customHeight="1" x14ac:dyDescent="0.25">
      <c r="P652" s="1"/>
      <c r="Q652" s="1"/>
      <c r="R652" s="1"/>
      <c r="S652" s="1"/>
      <c r="T652" s="1"/>
      <c r="U652" s="1"/>
      <c r="V652" s="1"/>
      <c r="W652" s="1"/>
      <c r="X652" s="1"/>
      <c r="Y652" s="1"/>
      <c r="AH652" s="1"/>
      <c r="AI652" s="1"/>
      <c r="AJ652" s="1"/>
      <c r="AK652" s="1"/>
      <c r="AL652" s="1"/>
      <c r="AM652" s="1"/>
      <c r="AN652" s="1"/>
    </row>
    <row r="653" spans="16:40" ht="15.75" customHeight="1" x14ac:dyDescent="0.25">
      <c r="P653" s="1"/>
      <c r="Q653" s="1"/>
      <c r="R653" s="1"/>
      <c r="S653" s="1"/>
      <c r="T653" s="1"/>
      <c r="U653" s="1"/>
      <c r="V653" s="1"/>
      <c r="W653" s="1"/>
      <c r="X653" s="1"/>
      <c r="Y653" s="1"/>
      <c r="AH653" s="1"/>
      <c r="AI653" s="1"/>
      <c r="AJ653" s="1"/>
      <c r="AK653" s="1"/>
      <c r="AL653" s="1"/>
      <c r="AM653" s="1"/>
      <c r="AN653" s="1"/>
    </row>
    <row r="654" spans="16:40" ht="15.75" customHeight="1" x14ac:dyDescent="0.25">
      <c r="P654" s="1"/>
      <c r="Q654" s="1"/>
      <c r="R654" s="1"/>
      <c r="S654" s="1"/>
      <c r="T654" s="1"/>
      <c r="U654" s="1"/>
      <c r="V654" s="1"/>
      <c r="W654" s="1"/>
      <c r="X654" s="1"/>
      <c r="Y654" s="1"/>
      <c r="AH654" s="1"/>
      <c r="AI654" s="1"/>
      <c r="AJ654" s="1"/>
      <c r="AK654" s="1"/>
      <c r="AL654" s="1"/>
      <c r="AM654" s="1"/>
      <c r="AN654" s="1"/>
    </row>
    <row r="655" spans="16:40" ht="15.75" customHeight="1" x14ac:dyDescent="0.25">
      <c r="P655" s="1"/>
      <c r="Q655" s="1"/>
      <c r="R655" s="1"/>
      <c r="S655" s="1"/>
      <c r="T655" s="1"/>
      <c r="U655" s="1"/>
      <c r="V655" s="1"/>
      <c r="W655" s="1"/>
      <c r="X655" s="1"/>
      <c r="Y655" s="1"/>
      <c r="AH655" s="1"/>
      <c r="AI655" s="1"/>
      <c r="AJ655" s="1"/>
      <c r="AK655" s="1"/>
      <c r="AL655" s="1"/>
      <c r="AM655" s="1"/>
      <c r="AN655" s="1"/>
    </row>
    <row r="656" spans="16:40" ht="15.75" customHeight="1" x14ac:dyDescent="0.25">
      <c r="P656" s="1"/>
      <c r="Q656" s="1"/>
      <c r="R656" s="1"/>
      <c r="S656" s="1"/>
      <c r="T656" s="1"/>
      <c r="U656" s="1"/>
      <c r="V656" s="1"/>
      <c r="W656" s="1"/>
      <c r="X656" s="1"/>
      <c r="Y656" s="1"/>
      <c r="AH656" s="1"/>
      <c r="AI656" s="1"/>
      <c r="AJ656" s="1"/>
      <c r="AK656" s="1"/>
      <c r="AL656" s="1"/>
      <c r="AM656" s="1"/>
      <c r="AN656" s="1"/>
    </row>
    <row r="657" spans="16:40" ht="15.75" customHeight="1" x14ac:dyDescent="0.25">
      <c r="P657" s="1"/>
      <c r="Q657" s="1"/>
      <c r="R657" s="1"/>
      <c r="S657" s="1"/>
      <c r="T657" s="1"/>
      <c r="U657" s="1"/>
      <c r="V657" s="1"/>
      <c r="W657" s="1"/>
      <c r="X657" s="1"/>
      <c r="Y657" s="1"/>
      <c r="AH657" s="1"/>
      <c r="AI657" s="1"/>
      <c r="AJ657" s="1"/>
      <c r="AK657" s="1"/>
      <c r="AL657" s="1"/>
      <c r="AM657" s="1"/>
      <c r="AN657" s="1"/>
    </row>
    <row r="658" spans="16:40" ht="15.75" customHeight="1" x14ac:dyDescent="0.25">
      <c r="P658" s="1"/>
      <c r="Q658" s="1"/>
      <c r="R658" s="1"/>
      <c r="S658" s="1"/>
      <c r="T658" s="1"/>
      <c r="U658" s="1"/>
      <c r="V658" s="1"/>
      <c r="W658" s="1"/>
      <c r="X658" s="1"/>
      <c r="Y658" s="1"/>
      <c r="AH658" s="1"/>
      <c r="AI658" s="1"/>
      <c r="AJ658" s="1"/>
      <c r="AK658" s="1"/>
      <c r="AL658" s="1"/>
      <c r="AM658" s="1"/>
      <c r="AN658" s="1"/>
    </row>
    <row r="659" spans="16:40" ht="15.75" customHeight="1" x14ac:dyDescent="0.25">
      <c r="P659" s="1"/>
      <c r="Q659" s="1"/>
      <c r="R659" s="1"/>
      <c r="S659" s="1"/>
      <c r="T659" s="1"/>
      <c r="U659" s="1"/>
      <c r="V659" s="1"/>
      <c r="W659" s="1"/>
      <c r="X659" s="1"/>
      <c r="Y659" s="1"/>
      <c r="AH659" s="1"/>
      <c r="AI659" s="1"/>
      <c r="AJ659" s="1"/>
      <c r="AK659" s="1"/>
      <c r="AL659" s="1"/>
      <c r="AM659" s="1"/>
      <c r="AN659" s="1"/>
    </row>
    <row r="660" spans="16:40" ht="15.75" customHeight="1" x14ac:dyDescent="0.25">
      <c r="P660" s="1"/>
      <c r="Q660" s="1"/>
      <c r="R660" s="1"/>
      <c r="S660" s="1"/>
      <c r="T660" s="1"/>
      <c r="U660" s="1"/>
      <c r="V660" s="1"/>
      <c r="W660" s="1"/>
      <c r="X660" s="1"/>
      <c r="Y660" s="1"/>
      <c r="AH660" s="1"/>
      <c r="AI660" s="1"/>
      <c r="AJ660" s="1"/>
      <c r="AK660" s="1"/>
      <c r="AL660" s="1"/>
      <c r="AM660" s="1"/>
      <c r="AN660" s="1"/>
    </row>
    <row r="661" spans="16:40" ht="15.75" customHeight="1" x14ac:dyDescent="0.25">
      <c r="P661" s="1"/>
      <c r="Q661" s="1"/>
      <c r="R661" s="1"/>
      <c r="S661" s="1"/>
      <c r="T661" s="1"/>
      <c r="U661" s="1"/>
      <c r="V661" s="1"/>
      <c r="W661" s="1"/>
      <c r="X661" s="1"/>
      <c r="Y661" s="1"/>
      <c r="AH661" s="1"/>
      <c r="AI661" s="1"/>
      <c r="AJ661" s="1"/>
      <c r="AK661" s="1"/>
      <c r="AL661" s="1"/>
      <c r="AM661" s="1"/>
      <c r="AN661" s="1"/>
    </row>
    <row r="662" spans="16:40" ht="15.75" customHeight="1" x14ac:dyDescent="0.25">
      <c r="P662" s="1"/>
      <c r="Q662" s="1"/>
      <c r="R662" s="1"/>
      <c r="S662" s="1"/>
      <c r="T662" s="1"/>
      <c r="U662" s="1"/>
      <c r="V662" s="1"/>
      <c r="W662" s="1"/>
      <c r="X662" s="1"/>
      <c r="Y662" s="1"/>
      <c r="AH662" s="1"/>
      <c r="AI662" s="1"/>
      <c r="AJ662" s="1"/>
      <c r="AK662" s="1"/>
      <c r="AL662" s="1"/>
      <c r="AM662" s="1"/>
      <c r="AN662" s="1"/>
    </row>
    <row r="663" spans="16:40" ht="15.75" customHeight="1" x14ac:dyDescent="0.25">
      <c r="P663" s="1"/>
      <c r="Q663" s="1"/>
      <c r="R663" s="1"/>
      <c r="S663" s="1"/>
      <c r="T663" s="1"/>
      <c r="U663" s="1"/>
      <c r="V663" s="1"/>
      <c r="W663" s="1"/>
      <c r="X663" s="1"/>
      <c r="Y663" s="1"/>
      <c r="AH663" s="1"/>
      <c r="AI663" s="1"/>
      <c r="AJ663" s="1"/>
      <c r="AK663" s="1"/>
      <c r="AL663" s="1"/>
      <c r="AM663" s="1"/>
      <c r="AN663" s="1"/>
    </row>
    <row r="664" spans="16:40" ht="15.75" customHeight="1" x14ac:dyDescent="0.25">
      <c r="P664" s="1"/>
      <c r="Q664" s="1"/>
      <c r="R664" s="1"/>
      <c r="S664" s="1"/>
      <c r="T664" s="1"/>
      <c r="U664" s="1"/>
      <c r="V664" s="1"/>
      <c r="W664" s="1"/>
      <c r="X664" s="1"/>
      <c r="Y664" s="1"/>
      <c r="AH664" s="1"/>
      <c r="AI664" s="1"/>
      <c r="AJ664" s="1"/>
      <c r="AK664" s="1"/>
      <c r="AL664" s="1"/>
      <c r="AM664" s="1"/>
      <c r="AN664" s="1"/>
    </row>
    <row r="665" spans="16:40" ht="15.75" customHeight="1" x14ac:dyDescent="0.25">
      <c r="P665" s="1"/>
      <c r="Q665" s="1"/>
      <c r="R665" s="1"/>
      <c r="S665" s="1"/>
      <c r="T665" s="1"/>
      <c r="U665" s="1"/>
      <c r="V665" s="1"/>
      <c r="W665" s="1"/>
      <c r="X665" s="1"/>
      <c r="Y665" s="1"/>
      <c r="AH665" s="1"/>
      <c r="AI665" s="1"/>
      <c r="AJ665" s="1"/>
      <c r="AK665" s="1"/>
      <c r="AL665" s="1"/>
      <c r="AM665" s="1"/>
      <c r="AN665" s="1"/>
    </row>
    <row r="666" spans="16:40" ht="15.75" customHeight="1" x14ac:dyDescent="0.25">
      <c r="P666" s="1"/>
      <c r="Q666" s="1"/>
      <c r="R666" s="1"/>
      <c r="S666" s="1"/>
      <c r="T666" s="1"/>
      <c r="U666" s="1"/>
      <c r="V666" s="1"/>
      <c r="W666" s="1"/>
      <c r="X666" s="1"/>
      <c r="Y666" s="1"/>
      <c r="AH666" s="1"/>
      <c r="AI666" s="1"/>
      <c r="AJ666" s="1"/>
      <c r="AK666" s="1"/>
      <c r="AL666" s="1"/>
      <c r="AM666" s="1"/>
      <c r="AN666" s="1"/>
    </row>
    <row r="667" spans="16:40" ht="15.75" customHeight="1" x14ac:dyDescent="0.25">
      <c r="P667" s="1"/>
      <c r="Q667" s="1"/>
      <c r="R667" s="1"/>
      <c r="S667" s="1"/>
      <c r="T667" s="1"/>
      <c r="U667" s="1"/>
      <c r="V667" s="1"/>
      <c r="W667" s="1"/>
      <c r="X667" s="1"/>
      <c r="Y667" s="1"/>
      <c r="AH667" s="1"/>
      <c r="AI667" s="1"/>
      <c r="AJ667" s="1"/>
      <c r="AK667" s="1"/>
      <c r="AL667" s="1"/>
      <c r="AM667" s="1"/>
      <c r="AN667" s="1"/>
    </row>
    <row r="668" spans="16:40" ht="15.75" customHeight="1" x14ac:dyDescent="0.25">
      <c r="P668" s="1"/>
      <c r="Q668" s="1"/>
      <c r="R668" s="1"/>
      <c r="S668" s="1"/>
      <c r="T668" s="1"/>
      <c r="U668" s="1"/>
      <c r="V668" s="1"/>
      <c r="W668" s="1"/>
      <c r="X668" s="1"/>
      <c r="Y668" s="1"/>
      <c r="AH668" s="1"/>
      <c r="AI668" s="1"/>
      <c r="AJ668" s="1"/>
      <c r="AK668" s="1"/>
      <c r="AL668" s="1"/>
      <c r="AM668" s="1"/>
      <c r="AN668" s="1"/>
    </row>
    <row r="669" spans="16:40" ht="15.75" customHeight="1" x14ac:dyDescent="0.25">
      <c r="P669" s="1"/>
      <c r="Q669" s="1"/>
      <c r="R669" s="1"/>
      <c r="S669" s="1"/>
      <c r="T669" s="1"/>
      <c r="U669" s="1"/>
      <c r="V669" s="1"/>
      <c r="W669" s="1"/>
      <c r="X669" s="1"/>
      <c r="Y669" s="1"/>
      <c r="AH669" s="1"/>
      <c r="AI669" s="1"/>
      <c r="AJ669" s="1"/>
      <c r="AK669" s="1"/>
      <c r="AL669" s="1"/>
      <c r="AM669" s="1"/>
      <c r="AN669" s="1"/>
    </row>
    <row r="670" spans="16:40" ht="15.75" customHeight="1" x14ac:dyDescent="0.25">
      <c r="P670" s="1"/>
      <c r="Q670" s="1"/>
      <c r="R670" s="1"/>
      <c r="S670" s="1"/>
      <c r="T670" s="1"/>
      <c r="U670" s="1"/>
      <c r="V670" s="1"/>
      <c r="W670" s="1"/>
      <c r="X670" s="1"/>
      <c r="Y670" s="1"/>
      <c r="AH670" s="1"/>
      <c r="AI670" s="1"/>
      <c r="AJ670" s="1"/>
      <c r="AK670" s="1"/>
      <c r="AL670" s="1"/>
      <c r="AM670" s="1"/>
      <c r="AN670" s="1"/>
    </row>
    <row r="671" spans="16:40" ht="15.75" customHeight="1" x14ac:dyDescent="0.25">
      <c r="P671" s="1"/>
      <c r="Q671" s="1"/>
      <c r="R671" s="1"/>
      <c r="S671" s="1"/>
      <c r="T671" s="1"/>
      <c r="U671" s="1"/>
      <c r="V671" s="1"/>
      <c r="W671" s="1"/>
      <c r="X671" s="1"/>
      <c r="Y671" s="1"/>
      <c r="AH671" s="1"/>
      <c r="AI671" s="1"/>
      <c r="AJ671" s="1"/>
      <c r="AK671" s="1"/>
      <c r="AL671" s="1"/>
      <c r="AM671" s="1"/>
      <c r="AN671" s="1"/>
    </row>
    <row r="672" spans="16:40" ht="15.75" customHeight="1" x14ac:dyDescent="0.25">
      <c r="P672" s="1"/>
      <c r="Q672" s="1"/>
      <c r="R672" s="1"/>
      <c r="S672" s="1"/>
      <c r="T672" s="1"/>
      <c r="U672" s="1"/>
      <c r="V672" s="1"/>
      <c r="W672" s="1"/>
      <c r="X672" s="1"/>
      <c r="Y672" s="1"/>
      <c r="AH672" s="1"/>
      <c r="AI672" s="1"/>
      <c r="AJ672" s="1"/>
      <c r="AK672" s="1"/>
      <c r="AL672" s="1"/>
      <c r="AM672" s="1"/>
      <c r="AN672" s="1"/>
    </row>
    <row r="673" spans="16:40" ht="15.75" customHeight="1" x14ac:dyDescent="0.25">
      <c r="P673" s="1"/>
      <c r="Q673" s="1"/>
      <c r="R673" s="1"/>
      <c r="S673" s="1"/>
      <c r="T673" s="1"/>
      <c r="U673" s="1"/>
      <c r="V673" s="1"/>
      <c r="W673" s="1"/>
      <c r="X673" s="1"/>
      <c r="Y673" s="1"/>
      <c r="AH673" s="1"/>
      <c r="AI673" s="1"/>
      <c r="AJ673" s="1"/>
      <c r="AK673" s="1"/>
      <c r="AL673" s="1"/>
      <c r="AM673" s="1"/>
      <c r="AN673" s="1"/>
    </row>
    <row r="674" spans="16:40" ht="15.75" customHeight="1" x14ac:dyDescent="0.25">
      <c r="P674" s="1"/>
      <c r="Q674" s="1"/>
      <c r="R674" s="1"/>
      <c r="S674" s="1"/>
      <c r="T674" s="1"/>
      <c r="U674" s="1"/>
      <c r="V674" s="1"/>
      <c r="W674" s="1"/>
      <c r="X674" s="1"/>
      <c r="Y674" s="1"/>
      <c r="AH674" s="1"/>
      <c r="AI674" s="1"/>
      <c r="AJ674" s="1"/>
      <c r="AK674" s="1"/>
      <c r="AL674" s="1"/>
      <c r="AM674" s="1"/>
      <c r="AN674" s="1"/>
    </row>
    <row r="675" spans="16:40" ht="15.75" customHeight="1" x14ac:dyDescent="0.25">
      <c r="P675" s="1"/>
      <c r="Q675" s="1"/>
      <c r="R675" s="1"/>
      <c r="S675" s="1"/>
      <c r="T675" s="1"/>
      <c r="U675" s="1"/>
      <c r="V675" s="1"/>
      <c r="W675" s="1"/>
      <c r="X675" s="1"/>
      <c r="Y675" s="1"/>
      <c r="AH675" s="1"/>
      <c r="AI675" s="1"/>
      <c r="AJ675" s="1"/>
      <c r="AK675" s="1"/>
      <c r="AL675" s="1"/>
      <c r="AM675" s="1"/>
      <c r="AN675" s="1"/>
    </row>
    <row r="676" spans="16:40" ht="15.75" customHeight="1" x14ac:dyDescent="0.25">
      <c r="P676" s="1"/>
      <c r="Q676" s="1"/>
      <c r="R676" s="1"/>
      <c r="S676" s="1"/>
      <c r="T676" s="1"/>
      <c r="U676" s="1"/>
      <c r="V676" s="1"/>
      <c r="W676" s="1"/>
      <c r="X676" s="1"/>
      <c r="Y676" s="1"/>
      <c r="AH676" s="1"/>
      <c r="AI676" s="1"/>
      <c r="AJ676" s="1"/>
      <c r="AK676" s="1"/>
      <c r="AL676" s="1"/>
      <c r="AM676" s="1"/>
      <c r="AN676" s="1"/>
    </row>
    <row r="677" spans="16:40" ht="15.75" customHeight="1" x14ac:dyDescent="0.25">
      <c r="P677" s="1"/>
      <c r="Q677" s="1"/>
      <c r="R677" s="1"/>
      <c r="S677" s="1"/>
      <c r="T677" s="1"/>
      <c r="U677" s="1"/>
      <c r="V677" s="1"/>
      <c r="W677" s="1"/>
      <c r="X677" s="1"/>
      <c r="Y677" s="1"/>
      <c r="AH677" s="1"/>
      <c r="AI677" s="1"/>
      <c r="AJ677" s="1"/>
      <c r="AK677" s="1"/>
      <c r="AL677" s="1"/>
      <c r="AM677" s="1"/>
      <c r="AN677" s="1"/>
    </row>
    <row r="678" spans="16:40" ht="15.75" customHeight="1" x14ac:dyDescent="0.25">
      <c r="P678" s="1"/>
      <c r="Q678" s="1"/>
      <c r="R678" s="1"/>
      <c r="S678" s="1"/>
      <c r="T678" s="1"/>
      <c r="U678" s="1"/>
      <c r="V678" s="1"/>
      <c r="W678" s="1"/>
      <c r="X678" s="1"/>
      <c r="Y678" s="1"/>
      <c r="AH678" s="1"/>
      <c r="AI678" s="1"/>
      <c r="AJ678" s="1"/>
      <c r="AK678" s="1"/>
      <c r="AL678" s="1"/>
      <c r="AM678" s="1"/>
      <c r="AN678" s="1"/>
    </row>
    <row r="679" spans="16:40" ht="15.75" customHeight="1" x14ac:dyDescent="0.25">
      <c r="P679" s="1"/>
      <c r="Q679" s="1"/>
      <c r="R679" s="1"/>
      <c r="S679" s="1"/>
      <c r="T679" s="1"/>
      <c r="U679" s="1"/>
      <c r="V679" s="1"/>
      <c r="W679" s="1"/>
      <c r="X679" s="1"/>
      <c r="Y679" s="1"/>
      <c r="AH679" s="1"/>
      <c r="AI679" s="1"/>
      <c r="AJ679" s="1"/>
      <c r="AK679" s="1"/>
      <c r="AL679" s="1"/>
      <c r="AM679" s="1"/>
      <c r="AN679" s="1"/>
    </row>
    <row r="680" spans="16:40" ht="15.75" customHeight="1" x14ac:dyDescent="0.25">
      <c r="P680" s="1"/>
      <c r="Q680" s="1"/>
      <c r="R680" s="1"/>
      <c r="S680" s="1"/>
      <c r="T680" s="1"/>
      <c r="U680" s="1"/>
      <c r="V680" s="1"/>
      <c r="W680" s="1"/>
      <c r="X680" s="1"/>
      <c r="Y680" s="1"/>
      <c r="AH680" s="1"/>
      <c r="AI680" s="1"/>
      <c r="AJ680" s="1"/>
      <c r="AK680" s="1"/>
      <c r="AL680" s="1"/>
      <c r="AM680" s="1"/>
      <c r="AN680" s="1"/>
    </row>
    <row r="681" spans="16:40" ht="15.75" customHeight="1" x14ac:dyDescent="0.25">
      <c r="P681" s="1"/>
      <c r="Q681" s="1"/>
      <c r="R681" s="1"/>
      <c r="S681" s="1"/>
      <c r="T681" s="1"/>
      <c r="U681" s="1"/>
      <c r="V681" s="1"/>
      <c r="W681" s="1"/>
      <c r="X681" s="1"/>
      <c r="Y681" s="1"/>
      <c r="AH681" s="1"/>
      <c r="AI681" s="1"/>
      <c r="AJ681" s="1"/>
      <c r="AK681" s="1"/>
      <c r="AL681" s="1"/>
      <c r="AM681" s="1"/>
      <c r="AN681" s="1"/>
    </row>
    <row r="682" spans="16:40" ht="15.75" customHeight="1" x14ac:dyDescent="0.25">
      <c r="P682" s="1"/>
      <c r="Q682" s="1"/>
      <c r="R682" s="1"/>
      <c r="S682" s="1"/>
      <c r="T682" s="1"/>
      <c r="U682" s="1"/>
      <c r="V682" s="1"/>
      <c r="W682" s="1"/>
      <c r="X682" s="1"/>
      <c r="Y682" s="1"/>
      <c r="AH682" s="1"/>
      <c r="AI682" s="1"/>
      <c r="AJ682" s="1"/>
      <c r="AK682" s="1"/>
      <c r="AL682" s="1"/>
      <c r="AM682" s="1"/>
      <c r="AN682" s="1"/>
    </row>
    <row r="683" spans="16:40" ht="15.75" customHeight="1" x14ac:dyDescent="0.25">
      <c r="P683" s="1"/>
      <c r="Q683" s="1"/>
      <c r="R683" s="1"/>
      <c r="S683" s="1"/>
      <c r="T683" s="1"/>
      <c r="U683" s="1"/>
      <c r="V683" s="1"/>
      <c r="W683" s="1"/>
      <c r="X683" s="1"/>
      <c r="Y683" s="1"/>
      <c r="AH683" s="1"/>
      <c r="AI683" s="1"/>
      <c r="AJ683" s="1"/>
      <c r="AK683" s="1"/>
      <c r="AL683" s="1"/>
      <c r="AM683" s="1"/>
      <c r="AN683" s="1"/>
    </row>
    <row r="684" spans="16:40" ht="15.75" customHeight="1" x14ac:dyDescent="0.25">
      <c r="P684" s="1"/>
      <c r="Q684" s="1"/>
      <c r="R684" s="1"/>
      <c r="S684" s="1"/>
      <c r="T684" s="1"/>
      <c r="U684" s="1"/>
      <c r="V684" s="1"/>
      <c r="W684" s="1"/>
      <c r="X684" s="1"/>
      <c r="Y684" s="1"/>
      <c r="AH684" s="1"/>
      <c r="AI684" s="1"/>
      <c r="AJ684" s="1"/>
      <c r="AK684" s="1"/>
      <c r="AL684" s="1"/>
      <c r="AM684" s="1"/>
      <c r="AN684" s="1"/>
    </row>
    <row r="685" spans="16:40" ht="15.75" customHeight="1" x14ac:dyDescent="0.25">
      <c r="P685" s="1"/>
      <c r="Q685" s="1"/>
      <c r="R685" s="1"/>
      <c r="S685" s="1"/>
      <c r="T685" s="1"/>
      <c r="U685" s="1"/>
      <c r="V685" s="1"/>
      <c r="W685" s="1"/>
      <c r="X685" s="1"/>
      <c r="Y685" s="1"/>
      <c r="AH685" s="1"/>
      <c r="AI685" s="1"/>
      <c r="AJ685" s="1"/>
      <c r="AK685" s="1"/>
      <c r="AL685" s="1"/>
      <c r="AM685" s="1"/>
      <c r="AN685" s="1"/>
    </row>
    <row r="686" spans="16:40" ht="15.75" customHeight="1" x14ac:dyDescent="0.25">
      <c r="P686" s="1"/>
      <c r="Q686" s="1"/>
      <c r="R686" s="1"/>
      <c r="S686" s="1"/>
      <c r="T686" s="1"/>
      <c r="U686" s="1"/>
      <c r="V686" s="1"/>
      <c r="W686" s="1"/>
      <c r="X686" s="1"/>
      <c r="Y686" s="1"/>
      <c r="AH686" s="1"/>
      <c r="AI686" s="1"/>
      <c r="AJ686" s="1"/>
      <c r="AK686" s="1"/>
      <c r="AL686" s="1"/>
      <c r="AM686" s="1"/>
      <c r="AN686" s="1"/>
    </row>
    <row r="687" spans="16:40" ht="15.75" customHeight="1" x14ac:dyDescent="0.25">
      <c r="P687" s="1"/>
      <c r="Q687" s="1"/>
      <c r="R687" s="1"/>
      <c r="S687" s="1"/>
      <c r="T687" s="1"/>
      <c r="U687" s="1"/>
      <c r="V687" s="1"/>
      <c r="W687" s="1"/>
      <c r="X687" s="1"/>
      <c r="Y687" s="1"/>
      <c r="AH687" s="1"/>
      <c r="AI687" s="1"/>
      <c r="AJ687" s="1"/>
      <c r="AK687" s="1"/>
      <c r="AL687" s="1"/>
      <c r="AM687" s="1"/>
      <c r="AN687" s="1"/>
    </row>
    <row r="688" spans="16:40" ht="15.75" customHeight="1" x14ac:dyDescent="0.25">
      <c r="P688" s="1"/>
      <c r="Q688" s="1"/>
      <c r="R688" s="1"/>
      <c r="S688" s="1"/>
      <c r="T688" s="1"/>
      <c r="U688" s="1"/>
      <c r="V688" s="1"/>
      <c r="W688" s="1"/>
      <c r="X688" s="1"/>
      <c r="Y688" s="1"/>
      <c r="AH688" s="1"/>
      <c r="AI688" s="1"/>
      <c r="AJ688" s="1"/>
      <c r="AK688" s="1"/>
      <c r="AL688" s="1"/>
      <c r="AM688" s="1"/>
      <c r="AN688" s="1"/>
    </row>
    <row r="689" spans="16:40" ht="15.75" customHeight="1" x14ac:dyDescent="0.25">
      <c r="P689" s="1"/>
      <c r="Q689" s="1"/>
      <c r="R689" s="1"/>
      <c r="S689" s="1"/>
      <c r="T689" s="1"/>
      <c r="U689" s="1"/>
      <c r="V689" s="1"/>
      <c r="W689" s="1"/>
      <c r="X689" s="1"/>
      <c r="Y689" s="1"/>
      <c r="AH689" s="1"/>
      <c r="AI689" s="1"/>
      <c r="AJ689" s="1"/>
      <c r="AK689" s="1"/>
      <c r="AL689" s="1"/>
      <c r="AM689" s="1"/>
      <c r="AN689" s="1"/>
    </row>
    <row r="690" spans="16:40" ht="15.75" customHeight="1" x14ac:dyDescent="0.25">
      <c r="P690" s="1"/>
      <c r="Q690" s="1"/>
      <c r="R690" s="1"/>
      <c r="S690" s="1"/>
      <c r="T690" s="1"/>
      <c r="U690" s="1"/>
      <c r="V690" s="1"/>
      <c r="W690" s="1"/>
      <c r="X690" s="1"/>
      <c r="Y690" s="1"/>
      <c r="AH690" s="1"/>
      <c r="AI690" s="1"/>
      <c r="AJ690" s="1"/>
      <c r="AK690" s="1"/>
      <c r="AL690" s="1"/>
      <c r="AM690" s="1"/>
      <c r="AN690" s="1"/>
    </row>
    <row r="691" spans="16:40" ht="15.75" customHeight="1" x14ac:dyDescent="0.25">
      <c r="P691" s="1"/>
      <c r="Q691" s="1"/>
      <c r="R691" s="1"/>
      <c r="S691" s="1"/>
      <c r="T691" s="1"/>
      <c r="U691" s="1"/>
      <c r="V691" s="1"/>
      <c r="W691" s="1"/>
      <c r="X691" s="1"/>
      <c r="Y691" s="1"/>
      <c r="AH691" s="1"/>
      <c r="AI691" s="1"/>
      <c r="AJ691" s="1"/>
      <c r="AK691" s="1"/>
      <c r="AL691" s="1"/>
      <c r="AM691" s="1"/>
      <c r="AN691" s="1"/>
    </row>
    <row r="692" spans="16:40" ht="15.75" customHeight="1" x14ac:dyDescent="0.25">
      <c r="P692" s="1"/>
      <c r="Q692" s="1"/>
      <c r="R692" s="1"/>
      <c r="S692" s="1"/>
      <c r="T692" s="1"/>
      <c r="U692" s="1"/>
      <c r="V692" s="1"/>
      <c r="W692" s="1"/>
      <c r="X692" s="1"/>
      <c r="Y692" s="1"/>
      <c r="AH692" s="1"/>
      <c r="AI692" s="1"/>
      <c r="AJ692" s="1"/>
      <c r="AK692" s="1"/>
      <c r="AL692" s="1"/>
      <c r="AM692" s="1"/>
      <c r="AN692" s="1"/>
    </row>
    <row r="693" spans="16:40" ht="15.75" customHeight="1" x14ac:dyDescent="0.25">
      <c r="P693" s="1"/>
      <c r="Q693" s="1"/>
      <c r="R693" s="1"/>
      <c r="S693" s="1"/>
      <c r="T693" s="1"/>
      <c r="U693" s="1"/>
      <c r="V693" s="1"/>
      <c r="W693" s="1"/>
      <c r="X693" s="1"/>
      <c r="Y693" s="1"/>
      <c r="AH693" s="1"/>
      <c r="AI693" s="1"/>
      <c r="AJ693" s="1"/>
      <c r="AK693" s="1"/>
      <c r="AL693" s="1"/>
      <c r="AM693" s="1"/>
      <c r="AN693" s="1"/>
    </row>
    <row r="694" spans="16:40" ht="15.75" customHeight="1" x14ac:dyDescent="0.25">
      <c r="P694" s="1"/>
      <c r="Q694" s="1"/>
      <c r="R694" s="1"/>
      <c r="S694" s="1"/>
      <c r="T694" s="1"/>
      <c r="U694" s="1"/>
      <c r="V694" s="1"/>
      <c r="W694" s="1"/>
      <c r="X694" s="1"/>
      <c r="Y694" s="1"/>
      <c r="AH694" s="1"/>
      <c r="AI694" s="1"/>
      <c r="AJ694" s="1"/>
      <c r="AK694" s="1"/>
      <c r="AL694" s="1"/>
      <c r="AM694" s="1"/>
      <c r="AN694" s="1"/>
    </row>
    <row r="695" spans="16:40" ht="15.75" customHeight="1" x14ac:dyDescent="0.25">
      <c r="P695" s="1"/>
      <c r="Q695" s="1"/>
      <c r="R695" s="1"/>
      <c r="S695" s="1"/>
      <c r="T695" s="1"/>
      <c r="U695" s="1"/>
      <c r="V695" s="1"/>
      <c r="W695" s="1"/>
      <c r="X695" s="1"/>
      <c r="Y695" s="1"/>
      <c r="AH695" s="1"/>
      <c r="AI695" s="1"/>
      <c r="AJ695" s="1"/>
      <c r="AK695" s="1"/>
      <c r="AL695" s="1"/>
      <c r="AM695" s="1"/>
      <c r="AN695" s="1"/>
    </row>
    <row r="696" spans="16:40" ht="15.75" customHeight="1" x14ac:dyDescent="0.25">
      <c r="P696" s="1"/>
      <c r="Q696" s="1"/>
      <c r="R696" s="1"/>
      <c r="S696" s="1"/>
      <c r="T696" s="1"/>
      <c r="U696" s="1"/>
      <c r="V696" s="1"/>
      <c r="W696" s="1"/>
      <c r="X696" s="1"/>
      <c r="Y696" s="1"/>
      <c r="AH696" s="1"/>
      <c r="AI696" s="1"/>
      <c r="AJ696" s="1"/>
      <c r="AK696" s="1"/>
      <c r="AL696" s="1"/>
      <c r="AM696" s="1"/>
      <c r="AN696" s="1"/>
    </row>
    <row r="697" spans="16:40" ht="15.75" customHeight="1" x14ac:dyDescent="0.25">
      <c r="P697" s="1"/>
      <c r="Q697" s="1"/>
      <c r="R697" s="1"/>
      <c r="S697" s="1"/>
      <c r="T697" s="1"/>
      <c r="U697" s="1"/>
      <c r="V697" s="1"/>
      <c r="W697" s="1"/>
      <c r="X697" s="1"/>
      <c r="Y697" s="1"/>
      <c r="AH697" s="1"/>
      <c r="AI697" s="1"/>
      <c r="AJ697" s="1"/>
      <c r="AK697" s="1"/>
      <c r="AL697" s="1"/>
      <c r="AM697" s="1"/>
      <c r="AN697" s="1"/>
    </row>
    <row r="698" spans="16:40" ht="15.75" customHeight="1" x14ac:dyDescent="0.25">
      <c r="P698" s="1"/>
      <c r="Q698" s="1"/>
      <c r="R698" s="1"/>
      <c r="S698" s="1"/>
      <c r="T698" s="1"/>
      <c r="U698" s="1"/>
      <c r="V698" s="1"/>
      <c r="W698" s="1"/>
      <c r="X698" s="1"/>
      <c r="Y698" s="1"/>
      <c r="AH698" s="1"/>
      <c r="AI698" s="1"/>
      <c r="AJ698" s="1"/>
      <c r="AK698" s="1"/>
      <c r="AL698" s="1"/>
      <c r="AM698" s="1"/>
      <c r="AN698" s="1"/>
    </row>
    <row r="699" spans="16:40" ht="15.75" customHeight="1" x14ac:dyDescent="0.25">
      <c r="P699" s="1"/>
      <c r="Q699" s="1"/>
      <c r="R699" s="1"/>
      <c r="S699" s="1"/>
      <c r="T699" s="1"/>
      <c r="U699" s="1"/>
      <c r="V699" s="1"/>
      <c r="W699" s="1"/>
      <c r="X699" s="1"/>
      <c r="Y699" s="1"/>
      <c r="AH699" s="1"/>
      <c r="AI699" s="1"/>
      <c r="AJ699" s="1"/>
      <c r="AK699" s="1"/>
      <c r="AL699" s="1"/>
      <c r="AM699" s="1"/>
      <c r="AN699" s="1"/>
    </row>
    <row r="700" spans="16:40" ht="15.75" customHeight="1" x14ac:dyDescent="0.25">
      <c r="P700" s="1"/>
      <c r="Q700" s="1"/>
      <c r="R700" s="1"/>
      <c r="S700" s="1"/>
      <c r="T700" s="1"/>
      <c r="U700" s="1"/>
      <c r="V700" s="1"/>
      <c r="W700" s="1"/>
      <c r="X700" s="1"/>
      <c r="Y700" s="1"/>
      <c r="AH700" s="1"/>
      <c r="AI700" s="1"/>
      <c r="AJ700" s="1"/>
      <c r="AK700" s="1"/>
      <c r="AL700" s="1"/>
      <c r="AM700" s="1"/>
      <c r="AN700" s="1"/>
    </row>
    <row r="701" spans="16:40" ht="15.75" customHeight="1" x14ac:dyDescent="0.25">
      <c r="P701" s="1"/>
      <c r="Q701" s="1"/>
      <c r="R701" s="1"/>
      <c r="S701" s="1"/>
      <c r="T701" s="1"/>
      <c r="U701" s="1"/>
      <c r="V701" s="1"/>
      <c r="W701" s="1"/>
      <c r="X701" s="1"/>
      <c r="Y701" s="1"/>
      <c r="AH701" s="1"/>
      <c r="AI701" s="1"/>
      <c r="AJ701" s="1"/>
      <c r="AK701" s="1"/>
      <c r="AL701" s="1"/>
      <c r="AM701" s="1"/>
      <c r="AN701" s="1"/>
    </row>
    <row r="702" spans="16:40" ht="15.75" customHeight="1" x14ac:dyDescent="0.25">
      <c r="P702" s="1"/>
      <c r="Q702" s="1"/>
      <c r="R702" s="1"/>
      <c r="S702" s="1"/>
      <c r="T702" s="1"/>
      <c r="U702" s="1"/>
      <c r="V702" s="1"/>
      <c r="W702" s="1"/>
      <c r="X702" s="1"/>
      <c r="Y702" s="1"/>
      <c r="AH702" s="1"/>
      <c r="AI702" s="1"/>
      <c r="AJ702" s="1"/>
      <c r="AK702" s="1"/>
      <c r="AL702" s="1"/>
      <c r="AM702" s="1"/>
      <c r="AN702" s="1"/>
    </row>
    <row r="703" spans="16:40" ht="15.75" customHeight="1" x14ac:dyDescent="0.25">
      <c r="P703" s="1"/>
      <c r="Q703" s="1"/>
      <c r="R703" s="1"/>
      <c r="S703" s="1"/>
      <c r="T703" s="1"/>
      <c r="U703" s="1"/>
      <c r="V703" s="1"/>
      <c r="W703" s="1"/>
      <c r="X703" s="1"/>
      <c r="Y703" s="1"/>
      <c r="AH703" s="1"/>
      <c r="AI703" s="1"/>
      <c r="AJ703" s="1"/>
      <c r="AK703" s="1"/>
      <c r="AL703" s="1"/>
      <c r="AM703" s="1"/>
      <c r="AN703" s="1"/>
    </row>
    <row r="704" spans="16:40" ht="15.75" customHeight="1" x14ac:dyDescent="0.25">
      <c r="P704" s="1"/>
      <c r="Q704" s="1"/>
      <c r="R704" s="1"/>
      <c r="S704" s="1"/>
      <c r="T704" s="1"/>
      <c r="U704" s="1"/>
      <c r="V704" s="1"/>
      <c r="W704" s="1"/>
      <c r="X704" s="1"/>
      <c r="Y704" s="1"/>
      <c r="AH704" s="1"/>
      <c r="AI704" s="1"/>
      <c r="AJ704" s="1"/>
      <c r="AK704" s="1"/>
      <c r="AL704" s="1"/>
      <c r="AM704" s="1"/>
      <c r="AN704" s="1"/>
    </row>
    <row r="705" spans="16:40" ht="15.75" customHeight="1" x14ac:dyDescent="0.25">
      <c r="P705" s="1"/>
      <c r="Q705" s="1"/>
      <c r="R705" s="1"/>
      <c r="S705" s="1"/>
      <c r="T705" s="1"/>
      <c r="U705" s="1"/>
      <c r="V705" s="1"/>
      <c r="W705" s="1"/>
      <c r="X705" s="1"/>
      <c r="Y705" s="1"/>
      <c r="AH705" s="1"/>
      <c r="AI705" s="1"/>
      <c r="AJ705" s="1"/>
      <c r="AK705" s="1"/>
      <c r="AL705" s="1"/>
      <c r="AM705" s="1"/>
      <c r="AN705" s="1"/>
    </row>
    <row r="706" spans="16:40" ht="15.75" customHeight="1" x14ac:dyDescent="0.25">
      <c r="P706" s="1"/>
      <c r="Q706" s="1"/>
      <c r="R706" s="1"/>
      <c r="S706" s="1"/>
      <c r="T706" s="1"/>
      <c r="U706" s="1"/>
      <c r="V706" s="1"/>
      <c r="W706" s="1"/>
      <c r="X706" s="1"/>
      <c r="Y706" s="1"/>
      <c r="AH706" s="1"/>
      <c r="AI706" s="1"/>
      <c r="AJ706" s="1"/>
      <c r="AK706" s="1"/>
      <c r="AL706" s="1"/>
      <c r="AM706" s="1"/>
      <c r="AN706" s="1"/>
    </row>
    <row r="707" spans="16:40" ht="15.75" customHeight="1" x14ac:dyDescent="0.25">
      <c r="P707" s="1"/>
      <c r="Q707" s="1"/>
      <c r="R707" s="1"/>
      <c r="S707" s="1"/>
      <c r="T707" s="1"/>
      <c r="U707" s="1"/>
      <c r="V707" s="1"/>
      <c r="W707" s="1"/>
      <c r="X707" s="1"/>
      <c r="Y707" s="1"/>
      <c r="AH707" s="1"/>
      <c r="AI707" s="1"/>
      <c r="AJ707" s="1"/>
      <c r="AK707" s="1"/>
      <c r="AL707" s="1"/>
      <c r="AM707" s="1"/>
      <c r="AN707" s="1"/>
    </row>
    <row r="708" spans="16:40" ht="15.75" customHeight="1" x14ac:dyDescent="0.25">
      <c r="P708" s="1"/>
      <c r="Q708" s="1"/>
      <c r="R708" s="1"/>
      <c r="S708" s="1"/>
      <c r="T708" s="1"/>
      <c r="U708" s="1"/>
      <c r="V708" s="1"/>
      <c r="W708" s="1"/>
      <c r="X708" s="1"/>
      <c r="Y708" s="1"/>
      <c r="AH708" s="1"/>
      <c r="AI708" s="1"/>
      <c r="AJ708" s="1"/>
      <c r="AK708" s="1"/>
      <c r="AL708" s="1"/>
      <c r="AM708" s="1"/>
      <c r="AN708" s="1"/>
    </row>
    <row r="709" spans="16:40" ht="15.75" customHeight="1" x14ac:dyDescent="0.25">
      <c r="P709" s="1"/>
      <c r="Q709" s="1"/>
      <c r="R709" s="1"/>
      <c r="S709" s="1"/>
      <c r="T709" s="1"/>
      <c r="U709" s="1"/>
      <c r="V709" s="1"/>
      <c r="W709" s="1"/>
      <c r="X709" s="1"/>
      <c r="Y709" s="1"/>
      <c r="AH709" s="1"/>
      <c r="AI709" s="1"/>
      <c r="AJ709" s="1"/>
      <c r="AK709" s="1"/>
      <c r="AL709" s="1"/>
      <c r="AM709" s="1"/>
      <c r="AN709" s="1"/>
    </row>
    <row r="710" spans="16:40" ht="15.75" customHeight="1" x14ac:dyDescent="0.25">
      <c r="P710" s="1"/>
      <c r="Q710" s="1"/>
      <c r="R710" s="1"/>
      <c r="S710" s="1"/>
      <c r="T710" s="1"/>
      <c r="U710" s="1"/>
      <c r="V710" s="1"/>
      <c r="W710" s="1"/>
      <c r="X710" s="1"/>
      <c r="Y710" s="1"/>
      <c r="AH710" s="1"/>
      <c r="AI710" s="1"/>
      <c r="AJ710" s="1"/>
      <c r="AK710" s="1"/>
      <c r="AL710" s="1"/>
      <c r="AM710" s="1"/>
      <c r="AN710" s="1"/>
    </row>
    <row r="711" spans="16:40" ht="15.75" customHeight="1" x14ac:dyDescent="0.25">
      <c r="P711" s="1"/>
      <c r="Q711" s="1"/>
      <c r="R711" s="1"/>
      <c r="S711" s="1"/>
      <c r="T711" s="1"/>
      <c r="U711" s="1"/>
      <c r="V711" s="1"/>
      <c r="W711" s="1"/>
      <c r="X711" s="1"/>
      <c r="Y711" s="1"/>
      <c r="AH711" s="1"/>
      <c r="AI711" s="1"/>
      <c r="AJ711" s="1"/>
      <c r="AK711" s="1"/>
      <c r="AL711" s="1"/>
      <c r="AM711" s="1"/>
      <c r="AN711" s="1"/>
    </row>
    <row r="712" spans="16:40" ht="15.75" customHeight="1" x14ac:dyDescent="0.25">
      <c r="P712" s="1"/>
      <c r="Q712" s="1"/>
      <c r="R712" s="1"/>
      <c r="S712" s="1"/>
      <c r="T712" s="1"/>
      <c r="U712" s="1"/>
      <c r="V712" s="1"/>
      <c r="W712" s="1"/>
      <c r="X712" s="1"/>
      <c r="Y712" s="1"/>
      <c r="AH712" s="1"/>
      <c r="AI712" s="1"/>
      <c r="AJ712" s="1"/>
      <c r="AK712" s="1"/>
      <c r="AL712" s="1"/>
      <c r="AM712" s="1"/>
      <c r="AN712" s="1"/>
    </row>
    <row r="713" spans="16:40" ht="15.75" customHeight="1" x14ac:dyDescent="0.25">
      <c r="P713" s="1"/>
      <c r="Q713" s="1"/>
      <c r="R713" s="1"/>
      <c r="S713" s="1"/>
      <c r="T713" s="1"/>
      <c r="U713" s="1"/>
      <c r="V713" s="1"/>
      <c r="W713" s="1"/>
      <c r="X713" s="1"/>
      <c r="Y713" s="1"/>
      <c r="AH713" s="1"/>
      <c r="AI713" s="1"/>
      <c r="AJ713" s="1"/>
      <c r="AK713" s="1"/>
      <c r="AL713" s="1"/>
      <c r="AM713" s="1"/>
      <c r="AN713" s="1"/>
    </row>
    <row r="714" spans="16:40" ht="15.75" customHeight="1" x14ac:dyDescent="0.25">
      <c r="P714" s="1"/>
      <c r="Q714" s="1"/>
      <c r="R714" s="1"/>
      <c r="S714" s="1"/>
      <c r="T714" s="1"/>
      <c r="U714" s="1"/>
      <c r="V714" s="1"/>
      <c r="W714" s="1"/>
      <c r="X714" s="1"/>
      <c r="Y714" s="1"/>
      <c r="AH714" s="1"/>
      <c r="AI714" s="1"/>
      <c r="AJ714" s="1"/>
      <c r="AK714" s="1"/>
      <c r="AL714" s="1"/>
      <c r="AM714" s="1"/>
      <c r="AN714" s="1"/>
    </row>
    <row r="715" spans="16:40" ht="15.75" customHeight="1" x14ac:dyDescent="0.25">
      <c r="P715" s="1"/>
      <c r="Q715" s="1"/>
      <c r="R715" s="1"/>
      <c r="S715" s="1"/>
      <c r="T715" s="1"/>
      <c r="U715" s="1"/>
      <c r="V715" s="1"/>
      <c r="W715" s="1"/>
      <c r="X715" s="1"/>
      <c r="Y715" s="1"/>
      <c r="AH715" s="1"/>
      <c r="AI715" s="1"/>
      <c r="AJ715" s="1"/>
      <c r="AK715" s="1"/>
      <c r="AL715" s="1"/>
      <c r="AM715" s="1"/>
      <c r="AN715" s="1"/>
    </row>
    <row r="716" spans="16:40" ht="15.75" customHeight="1" x14ac:dyDescent="0.25">
      <c r="P716" s="1"/>
      <c r="Q716" s="1"/>
      <c r="R716" s="1"/>
      <c r="S716" s="1"/>
      <c r="T716" s="1"/>
      <c r="U716" s="1"/>
      <c r="V716" s="1"/>
      <c r="W716" s="1"/>
      <c r="X716" s="1"/>
      <c r="Y716" s="1"/>
      <c r="AH716" s="1"/>
      <c r="AI716" s="1"/>
      <c r="AJ716" s="1"/>
      <c r="AK716" s="1"/>
      <c r="AL716" s="1"/>
      <c r="AM716" s="1"/>
      <c r="AN716" s="1"/>
    </row>
    <row r="717" spans="16:40" ht="15.75" customHeight="1" x14ac:dyDescent="0.25">
      <c r="P717" s="1"/>
      <c r="Q717" s="1"/>
      <c r="R717" s="1"/>
      <c r="S717" s="1"/>
      <c r="T717" s="1"/>
      <c r="U717" s="1"/>
      <c r="V717" s="1"/>
      <c r="W717" s="1"/>
      <c r="X717" s="1"/>
      <c r="Y717" s="1"/>
      <c r="AH717" s="1"/>
      <c r="AI717" s="1"/>
      <c r="AJ717" s="1"/>
      <c r="AK717" s="1"/>
      <c r="AL717" s="1"/>
      <c r="AM717" s="1"/>
      <c r="AN717" s="1"/>
    </row>
    <row r="718" spans="16:40" ht="15.75" customHeight="1" x14ac:dyDescent="0.25">
      <c r="P718" s="1"/>
      <c r="Q718" s="1"/>
      <c r="R718" s="1"/>
      <c r="S718" s="1"/>
      <c r="T718" s="1"/>
      <c r="U718" s="1"/>
      <c r="V718" s="1"/>
      <c r="W718" s="1"/>
      <c r="X718" s="1"/>
      <c r="Y718" s="1"/>
      <c r="AH718" s="1"/>
      <c r="AI718" s="1"/>
      <c r="AJ718" s="1"/>
      <c r="AK718" s="1"/>
      <c r="AL718" s="1"/>
      <c r="AM718" s="1"/>
      <c r="AN718" s="1"/>
    </row>
    <row r="719" spans="16:40" ht="15.75" customHeight="1" x14ac:dyDescent="0.25">
      <c r="P719" s="1"/>
      <c r="Q719" s="1"/>
      <c r="R719" s="1"/>
      <c r="S719" s="1"/>
      <c r="T719" s="1"/>
      <c r="U719" s="1"/>
      <c r="V719" s="1"/>
      <c r="W719" s="1"/>
      <c r="X719" s="1"/>
      <c r="Y719" s="1"/>
      <c r="AH719" s="1"/>
      <c r="AI719" s="1"/>
      <c r="AJ719" s="1"/>
      <c r="AK719" s="1"/>
      <c r="AL719" s="1"/>
      <c r="AM719" s="1"/>
      <c r="AN719" s="1"/>
    </row>
    <row r="720" spans="16:40" ht="15.75" customHeight="1" x14ac:dyDescent="0.25">
      <c r="P720" s="1"/>
      <c r="Q720" s="1"/>
      <c r="R720" s="1"/>
      <c r="S720" s="1"/>
      <c r="T720" s="1"/>
      <c r="U720" s="1"/>
      <c r="V720" s="1"/>
      <c r="W720" s="1"/>
      <c r="X720" s="1"/>
      <c r="Y720" s="1"/>
      <c r="AH720" s="1"/>
      <c r="AI720" s="1"/>
      <c r="AJ720" s="1"/>
      <c r="AK720" s="1"/>
      <c r="AL720" s="1"/>
      <c r="AM720" s="1"/>
      <c r="AN720" s="1"/>
    </row>
    <row r="721" spans="16:40" ht="15.75" customHeight="1" x14ac:dyDescent="0.25">
      <c r="P721" s="1"/>
      <c r="Q721" s="1"/>
      <c r="R721" s="1"/>
      <c r="S721" s="1"/>
      <c r="T721" s="1"/>
      <c r="U721" s="1"/>
      <c r="V721" s="1"/>
      <c r="W721" s="1"/>
      <c r="X721" s="1"/>
      <c r="Y721" s="1"/>
      <c r="AH721" s="1"/>
      <c r="AI721" s="1"/>
      <c r="AJ721" s="1"/>
      <c r="AK721" s="1"/>
      <c r="AL721" s="1"/>
      <c r="AM721" s="1"/>
      <c r="AN721" s="1"/>
    </row>
    <row r="722" spans="16:40" ht="15.75" customHeight="1" x14ac:dyDescent="0.25">
      <c r="P722" s="1"/>
      <c r="Q722" s="1"/>
      <c r="R722" s="1"/>
      <c r="S722" s="1"/>
      <c r="T722" s="1"/>
      <c r="U722" s="1"/>
      <c r="V722" s="1"/>
      <c r="W722" s="1"/>
      <c r="X722" s="1"/>
      <c r="Y722" s="1"/>
      <c r="AH722" s="1"/>
      <c r="AI722" s="1"/>
      <c r="AJ722" s="1"/>
      <c r="AK722" s="1"/>
      <c r="AL722" s="1"/>
      <c r="AM722" s="1"/>
      <c r="AN722" s="1"/>
    </row>
    <row r="723" spans="16:40" ht="15.75" customHeight="1" x14ac:dyDescent="0.25">
      <c r="P723" s="1"/>
      <c r="Q723" s="1"/>
      <c r="R723" s="1"/>
      <c r="S723" s="1"/>
      <c r="T723" s="1"/>
      <c r="U723" s="1"/>
      <c r="V723" s="1"/>
      <c r="W723" s="1"/>
      <c r="X723" s="1"/>
      <c r="Y723" s="1"/>
      <c r="AH723" s="1"/>
      <c r="AI723" s="1"/>
      <c r="AJ723" s="1"/>
      <c r="AK723" s="1"/>
      <c r="AL723" s="1"/>
      <c r="AM723" s="1"/>
      <c r="AN723" s="1"/>
    </row>
    <row r="724" spans="16:40" ht="15.75" customHeight="1" x14ac:dyDescent="0.25">
      <c r="P724" s="1"/>
      <c r="Q724" s="1"/>
      <c r="R724" s="1"/>
      <c r="S724" s="1"/>
      <c r="T724" s="1"/>
      <c r="U724" s="1"/>
      <c r="V724" s="1"/>
      <c r="W724" s="1"/>
      <c r="X724" s="1"/>
      <c r="Y724" s="1"/>
      <c r="AH724" s="1"/>
      <c r="AI724" s="1"/>
      <c r="AJ724" s="1"/>
      <c r="AK724" s="1"/>
      <c r="AL724" s="1"/>
      <c r="AM724" s="1"/>
      <c r="AN724" s="1"/>
    </row>
    <row r="725" spans="16:40" ht="15.75" customHeight="1" x14ac:dyDescent="0.25">
      <c r="P725" s="1"/>
      <c r="Q725" s="1"/>
      <c r="R725" s="1"/>
      <c r="S725" s="1"/>
      <c r="T725" s="1"/>
      <c r="U725" s="1"/>
      <c r="V725" s="1"/>
      <c r="W725" s="1"/>
      <c r="X725" s="1"/>
      <c r="Y725" s="1"/>
      <c r="AH725" s="1"/>
      <c r="AI725" s="1"/>
      <c r="AJ725" s="1"/>
      <c r="AK725" s="1"/>
      <c r="AL725" s="1"/>
      <c r="AM725" s="1"/>
      <c r="AN725" s="1"/>
    </row>
    <row r="726" spans="16:40" ht="15.75" customHeight="1" x14ac:dyDescent="0.25">
      <c r="P726" s="1"/>
      <c r="Q726" s="1"/>
      <c r="R726" s="1"/>
      <c r="S726" s="1"/>
      <c r="T726" s="1"/>
      <c r="U726" s="1"/>
      <c r="V726" s="1"/>
      <c r="W726" s="1"/>
      <c r="X726" s="1"/>
      <c r="Y726" s="1"/>
      <c r="AH726" s="1"/>
      <c r="AI726" s="1"/>
      <c r="AJ726" s="1"/>
      <c r="AK726" s="1"/>
      <c r="AL726" s="1"/>
      <c r="AM726" s="1"/>
      <c r="AN726" s="1"/>
    </row>
    <row r="727" spans="16:40" ht="15.75" customHeight="1" x14ac:dyDescent="0.25">
      <c r="P727" s="1"/>
      <c r="Q727" s="1"/>
      <c r="R727" s="1"/>
      <c r="S727" s="1"/>
      <c r="T727" s="1"/>
      <c r="U727" s="1"/>
      <c r="V727" s="1"/>
      <c r="W727" s="1"/>
      <c r="X727" s="1"/>
      <c r="Y727" s="1"/>
      <c r="AH727" s="1"/>
      <c r="AI727" s="1"/>
      <c r="AJ727" s="1"/>
      <c r="AK727" s="1"/>
      <c r="AL727" s="1"/>
      <c r="AM727" s="1"/>
      <c r="AN727" s="1"/>
    </row>
    <row r="728" spans="16:40" ht="15.75" customHeight="1" x14ac:dyDescent="0.25">
      <c r="P728" s="1"/>
      <c r="Q728" s="1"/>
      <c r="R728" s="1"/>
      <c r="S728" s="1"/>
      <c r="T728" s="1"/>
      <c r="U728" s="1"/>
      <c r="V728" s="1"/>
      <c r="W728" s="1"/>
      <c r="X728" s="1"/>
      <c r="Y728" s="1"/>
      <c r="AH728" s="1"/>
      <c r="AI728" s="1"/>
      <c r="AJ728" s="1"/>
      <c r="AK728" s="1"/>
      <c r="AL728" s="1"/>
      <c r="AM728" s="1"/>
      <c r="AN728" s="1"/>
    </row>
    <row r="729" spans="16:40" ht="15.75" customHeight="1" x14ac:dyDescent="0.25">
      <c r="P729" s="1"/>
      <c r="Q729" s="1"/>
      <c r="R729" s="1"/>
      <c r="S729" s="1"/>
      <c r="T729" s="1"/>
      <c r="U729" s="1"/>
      <c r="V729" s="1"/>
      <c r="W729" s="1"/>
      <c r="X729" s="1"/>
      <c r="Y729" s="1"/>
      <c r="AH729" s="1"/>
      <c r="AI729" s="1"/>
      <c r="AJ729" s="1"/>
      <c r="AK729" s="1"/>
      <c r="AL729" s="1"/>
      <c r="AM729" s="1"/>
      <c r="AN729" s="1"/>
    </row>
    <row r="730" spans="16:40" ht="15.75" customHeight="1" x14ac:dyDescent="0.25">
      <c r="P730" s="1"/>
      <c r="Q730" s="1"/>
      <c r="R730" s="1"/>
      <c r="S730" s="1"/>
      <c r="T730" s="1"/>
      <c r="U730" s="1"/>
      <c r="V730" s="1"/>
      <c r="W730" s="1"/>
      <c r="X730" s="1"/>
      <c r="Y730" s="1"/>
      <c r="AH730" s="1"/>
      <c r="AI730" s="1"/>
      <c r="AJ730" s="1"/>
      <c r="AK730" s="1"/>
      <c r="AL730" s="1"/>
      <c r="AM730" s="1"/>
      <c r="AN730" s="1"/>
    </row>
    <row r="731" spans="16:40" ht="15.75" customHeight="1" x14ac:dyDescent="0.25">
      <c r="P731" s="1"/>
      <c r="Q731" s="1"/>
      <c r="R731" s="1"/>
      <c r="S731" s="1"/>
      <c r="T731" s="1"/>
      <c r="U731" s="1"/>
      <c r="V731" s="1"/>
      <c r="W731" s="1"/>
      <c r="X731" s="1"/>
      <c r="Y731" s="1"/>
      <c r="AH731" s="1"/>
      <c r="AI731" s="1"/>
      <c r="AJ731" s="1"/>
      <c r="AK731" s="1"/>
      <c r="AL731" s="1"/>
      <c r="AM731" s="1"/>
      <c r="AN731" s="1"/>
    </row>
    <row r="732" spans="16:40" ht="15.75" customHeight="1" x14ac:dyDescent="0.25">
      <c r="P732" s="1"/>
      <c r="Q732" s="1"/>
      <c r="R732" s="1"/>
      <c r="S732" s="1"/>
      <c r="T732" s="1"/>
      <c r="U732" s="1"/>
      <c r="V732" s="1"/>
      <c r="W732" s="1"/>
      <c r="X732" s="1"/>
      <c r="Y732" s="1"/>
      <c r="AH732" s="1"/>
      <c r="AI732" s="1"/>
      <c r="AJ732" s="1"/>
      <c r="AK732" s="1"/>
      <c r="AL732" s="1"/>
      <c r="AM732" s="1"/>
      <c r="AN732" s="1"/>
    </row>
    <row r="733" spans="16:40" ht="15.75" customHeight="1" x14ac:dyDescent="0.25">
      <c r="P733" s="1"/>
      <c r="Q733" s="1"/>
      <c r="R733" s="1"/>
      <c r="S733" s="1"/>
      <c r="T733" s="1"/>
      <c r="U733" s="1"/>
      <c r="V733" s="1"/>
      <c r="W733" s="1"/>
      <c r="X733" s="1"/>
      <c r="Y733" s="1"/>
      <c r="AH733" s="1"/>
      <c r="AI733" s="1"/>
      <c r="AJ733" s="1"/>
      <c r="AK733" s="1"/>
      <c r="AL733" s="1"/>
      <c r="AM733" s="1"/>
      <c r="AN733" s="1"/>
    </row>
    <row r="734" spans="16:40" ht="15.75" customHeight="1" x14ac:dyDescent="0.25">
      <c r="P734" s="1"/>
      <c r="Q734" s="1"/>
      <c r="R734" s="1"/>
      <c r="S734" s="1"/>
      <c r="T734" s="1"/>
      <c r="U734" s="1"/>
      <c r="V734" s="1"/>
      <c r="W734" s="1"/>
      <c r="X734" s="1"/>
      <c r="Y734" s="1"/>
      <c r="AH734" s="1"/>
      <c r="AI734" s="1"/>
      <c r="AJ734" s="1"/>
      <c r="AK734" s="1"/>
      <c r="AL734" s="1"/>
      <c r="AM734" s="1"/>
      <c r="AN734" s="1"/>
    </row>
    <row r="735" spans="16:40" ht="15.75" customHeight="1" x14ac:dyDescent="0.25">
      <c r="P735" s="1"/>
      <c r="Q735" s="1"/>
      <c r="R735" s="1"/>
      <c r="S735" s="1"/>
      <c r="T735" s="1"/>
      <c r="U735" s="1"/>
      <c r="V735" s="1"/>
      <c r="W735" s="1"/>
      <c r="X735" s="1"/>
      <c r="Y735" s="1"/>
      <c r="AH735" s="1"/>
      <c r="AI735" s="1"/>
      <c r="AJ735" s="1"/>
      <c r="AK735" s="1"/>
      <c r="AL735" s="1"/>
      <c r="AM735" s="1"/>
      <c r="AN735" s="1"/>
    </row>
    <row r="736" spans="16:40" ht="15.75" customHeight="1" x14ac:dyDescent="0.25">
      <c r="P736" s="1"/>
      <c r="Q736" s="1"/>
      <c r="R736" s="1"/>
      <c r="S736" s="1"/>
      <c r="T736" s="1"/>
      <c r="U736" s="1"/>
      <c r="V736" s="1"/>
      <c r="W736" s="1"/>
      <c r="X736" s="1"/>
      <c r="Y736" s="1"/>
      <c r="AH736" s="1"/>
      <c r="AI736" s="1"/>
      <c r="AJ736" s="1"/>
      <c r="AK736" s="1"/>
      <c r="AL736" s="1"/>
      <c r="AM736" s="1"/>
      <c r="AN736" s="1"/>
    </row>
    <row r="737" spans="16:40" ht="15.75" customHeight="1" x14ac:dyDescent="0.25">
      <c r="P737" s="1"/>
      <c r="Q737" s="1"/>
      <c r="R737" s="1"/>
      <c r="S737" s="1"/>
      <c r="T737" s="1"/>
      <c r="U737" s="1"/>
      <c r="V737" s="1"/>
      <c r="W737" s="1"/>
      <c r="X737" s="1"/>
      <c r="Y737" s="1"/>
      <c r="AH737" s="1"/>
      <c r="AI737" s="1"/>
      <c r="AJ737" s="1"/>
      <c r="AK737" s="1"/>
      <c r="AL737" s="1"/>
      <c r="AM737" s="1"/>
      <c r="AN737" s="1"/>
    </row>
    <row r="738" spans="16:40" ht="15.75" customHeight="1" x14ac:dyDescent="0.25">
      <c r="P738" s="1"/>
      <c r="Q738" s="1"/>
      <c r="R738" s="1"/>
      <c r="S738" s="1"/>
      <c r="T738" s="1"/>
      <c r="U738" s="1"/>
      <c r="V738" s="1"/>
      <c r="W738" s="1"/>
      <c r="X738" s="1"/>
      <c r="Y738" s="1"/>
      <c r="AH738" s="1"/>
      <c r="AI738" s="1"/>
      <c r="AJ738" s="1"/>
      <c r="AK738" s="1"/>
      <c r="AL738" s="1"/>
      <c r="AM738" s="1"/>
      <c r="AN738" s="1"/>
    </row>
    <row r="739" spans="16:40" ht="15.75" customHeight="1" x14ac:dyDescent="0.25">
      <c r="P739" s="1"/>
      <c r="Q739" s="1"/>
      <c r="R739" s="1"/>
      <c r="S739" s="1"/>
      <c r="T739" s="1"/>
      <c r="U739" s="1"/>
      <c r="V739" s="1"/>
      <c r="W739" s="1"/>
      <c r="X739" s="1"/>
      <c r="Y739" s="1"/>
      <c r="AH739" s="1"/>
      <c r="AI739" s="1"/>
      <c r="AJ739" s="1"/>
      <c r="AK739" s="1"/>
      <c r="AL739" s="1"/>
      <c r="AM739" s="1"/>
      <c r="AN739" s="1"/>
    </row>
    <row r="740" spans="16:40" ht="15.75" customHeight="1" x14ac:dyDescent="0.25">
      <c r="P740" s="1"/>
      <c r="Q740" s="1"/>
      <c r="R740" s="1"/>
      <c r="S740" s="1"/>
      <c r="T740" s="1"/>
      <c r="U740" s="1"/>
      <c r="V740" s="1"/>
      <c r="W740" s="1"/>
      <c r="X740" s="1"/>
      <c r="Y740" s="1"/>
      <c r="AH740" s="1"/>
      <c r="AI740" s="1"/>
      <c r="AJ740" s="1"/>
      <c r="AK740" s="1"/>
      <c r="AL740" s="1"/>
      <c r="AM740" s="1"/>
      <c r="AN740" s="1"/>
    </row>
    <row r="741" spans="16:40" ht="15.75" customHeight="1" x14ac:dyDescent="0.25">
      <c r="P741" s="1"/>
      <c r="Q741" s="1"/>
      <c r="R741" s="1"/>
      <c r="S741" s="1"/>
      <c r="T741" s="1"/>
      <c r="U741" s="1"/>
      <c r="V741" s="1"/>
      <c r="W741" s="1"/>
      <c r="X741" s="1"/>
      <c r="Y741" s="1"/>
      <c r="AH741" s="1"/>
      <c r="AI741" s="1"/>
      <c r="AJ741" s="1"/>
      <c r="AK741" s="1"/>
      <c r="AL741" s="1"/>
      <c r="AM741" s="1"/>
      <c r="AN741" s="1"/>
    </row>
    <row r="742" spans="16:40" ht="15.75" customHeight="1" x14ac:dyDescent="0.25">
      <c r="P742" s="1"/>
      <c r="Q742" s="1"/>
      <c r="R742" s="1"/>
      <c r="S742" s="1"/>
      <c r="T742" s="1"/>
      <c r="U742" s="1"/>
      <c r="V742" s="1"/>
      <c r="W742" s="1"/>
      <c r="X742" s="1"/>
      <c r="Y742" s="1"/>
      <c r="AH742" s="1"/>
      <c r="AI742" s="1"/>
      <c r="AJ742" s="1"/>
      <c r="AK742" s="1"/>
      <c r="AL742" s="1"/>
      <c r="AM742" s="1"/>
      <c r="AN742" s="1"/>
    </row>
    <row r="743" spans="16:40" ht="15.75" customHeight="1" x14ac:dyDescent="0.25">
      <c r="P743" s="1"/>
      <c r="Q743" s="1"/>
      <c r="R743" s="1"/>
      <c r="S743" s="1"/>
      <c r="T743" s="1"/>
      <c r="U743" s="1"/>
      <c r="V743" s="1"/>
      <c r="W743" s="1"/>
      <c r="X743" s="1"/>
      <c r="Y743" s="1"/>
      <c r="AH743" s="1"/>
      <c r="AI743" s="1"/>
      <c r="AJ743" s="1"/>
      <c r="AK743" s="1"/>
      <c r="AL743" s="1"/>
      <c r="AM743" s="1"/>
      <c r="AN743" s="1"/>
    </row>
    <row r="744" spans="16:40" ht="15.75" customHeight="1" x14ac:dyDescent="0.25">
      <c r="P744" s="1"/>
      <c r="Q744" s="1"/>
      <c r="R744" s="1"/>
      <c r="S744" s="1"/>
      <c r="T744" s="1"/>
      <c r="U744" s="1"/>
      <c r="V744" s="1"/>
      <c r="W744" s="1"/>
      <c r="X744" s="1"/>
      <c r="Y744" s="1"/>
      <c r="AH744" s="1"/>
      <c r="AI744" s="1"/>
      <c r="AJ744" s="1"/>
      <c r="AK744" s="1"/>
      <c r="AL744" s="1"/>
      <c r="AM744" s="1"/>
      <c r="AN744" s="1"/>
    </row>
    <row r="745" spans="16:40" ht="15.75" customHeight="1" x14ac:dyDescent="0.25">
      <c r="P745" s="1"/>
      <c r="Q745" s="1"/>
      <c r="R745" s="1"/>
      <c r="S745" s="1"/>
      <c r="T745" s="1"/>
      <c r="U745" s="1"/>
      <c r="V745" s="1"/>
      <c r="W745" s="1"/>
      <c r="X745" s="1"/>
      <c r="Y745" s="1"/>
      <c r="AH745" s="1"/>
      <c r="AI745" s="1"/>
      <c r="AJ745" s="1"/>
      <c r="AK745" s="1"/>
      <c r="AL745" s="1"/>
      <c r="AM745" s="1"/>
      <c r="AN745" s="1"/>
    </row>
    <row r="746" spans="16:40" ht="15.75" customHeight="1" x14ac:dyDescent="0.25">
      <c r="P746" s="1"/>
      <c r="Q746" s="1"/>
      <c r="R746" s="1"/>
      <c r="S746" s="1"/>
      <c r="T746" s="1"/>
      <c r="U746" s="1"/>
      <c r="V746" s="1"/>
      <c r="W746" s="1"/>
      <c r="X746" s="1"/>
      <c r="Y746" s="1"/>
      <c r="AH746" s="1"/>
      <c r="AI746" s="1"/>
      <c r="AJ746" s="1"/>
      <c r="AK746" s="1"/>
      <c r="AL746" s="1"/>
      <c r="AM746" s="1"/>
      <c r="AN746" s="1"/>
    </row>
    <row r="747" spans="16:40" ht="15.75" customHeight="1" x14ac:dyDescent="0.25">
      <c r="P747" s="1"/>
      <c r="Q747" s="1"/>
      <c r="R747" s="1"/>
      <c r="S747" s="1"/>
      <c r="T747" s="1"/>
      <c r="U747" s="1"/>
      <c r="V747" s="1"/>
      <c r="W747" s="1"/>
      <c r="X747" s="1"/>
      <c r="Y747" s="1"/>
      <c r="AH747" s="1"/>
      <c r="AI747" s="1"/>
      <c r="AJ747" s="1"/>
      <c r="AK747" s="1"/>
      <c r="AL747" s="1"/>
      <c r="AM747" s="1"/>
      <c r="AN747" s="1"/>
    </row>
    <row r="748" spans="16:40" ht="15.75" customHeight="1" x14ac:dyDescent="0.25">
      <c r="P748" s="1"/>
      <c r="Q748" s="1"/>
      <c r="R748" s="1"/>
      <c r="S748" s="1"/>
      <c r="T748" s="1"/>
      <c r="U748" s="1"/>
      <c r="V748" s="1"/>
      <c r="W748" s="1"/>
      <c r="X748" s="1"/>
      <c r="Y748" s="1"/>
      <c r="AH748" s="1"/>
      <c r="AI748" s="1"/>
      <c r="AJ748" s="1"/>
      <c r="AK748" s="1"/>
      <c r="AL748" s="1"/>
      <c r="AM748" s="1"/>
      <c r="AN748" s="1"/>
    </row>
    <row r="749" spans="16:40" ht="15.75" customHeight="1" x14ac:dyDescent="0.25">
      <c r="P749" s="1"/>
      <c r="Q749" s="1"/>
      <c r="R749" s="1"/>
      <c r="S749" s="1"/>
      <c r="T749" s="1"/>
      <c r="U749" s="1"/>
      <c r="V749" s="1"/>
      <c r="W749" s="1"/>
      <c r="X749" s="1"/>
      <c r="Y749" s="1"/>
      <c r="AH749" s="1"/>
      <c r="AI749" s="1"/>
      <c r="AJ749" s="1"/>
      <c r="AK749" s="1"/>
      <c r="AL749" s="1"/>
      <c r="AM749" s="1"/>
      <c r="AN749" s="1"/>
    </row>
    <row r="750" spans="16:40" ht="15.75" customHeight="1" x14ac:dyDescent="0.25">
      <c r="P750" s="1"/>
      <c r="Q750" s="1"/>
      <c r="R750" s="1"/>
      <c r="S750" s="1"/>
      <c r="T750" s="1"/>
      <c r="U750" s="1"/>
      <c r="V750" s="1"/>
      <c r="W750" s="1"/>
      <c r="X750" s="1"/>
      <c r="Y750" s="1"/>
      <c r="AH750" s="1"/>
      <c r="AI750" s="1"/>
      <c r="AJ750" s="1"/>
      <c r="AK750" s="1"/>
      <c r="AL750" s="1"/>
      <c r="AM750" s="1"/>
      <c r="AN750" s="1"/>
    </row>
    <row r="751" spans="16:40" ht="15.75" customHeight="1" x14ac:dyDescent="0.25">
      <c r="P751" s="1"/>
      <c r="Q751" s="1"/>
      <c r="R751" s="1"/>
      <c r="S751" s="1"/>
      <c r="T751" s="1"/>
      <c r="U751" s="1"/>
      <c r="V751" s="1"/>
      <c r="W751" s="1"/>
      <c r="X751" s="1"/>
      <c r="Y751" s="1"/>
      <c r="AH751" s="1"/>
      <c r="AI751" s="1"/>
      <c r="AJ751" s="1"/>
      <c r="AK751" s="1"/>
      <c r="AL751" s="1"/>
      <c r="AM751" s="1"/>
      <c r="AN751" s="1"/>
    </row>
    <row r="752" spans="16:40" ht="15.75" customHeight="1" x14ac:dyDescent="0.25">
      <c r="P752" s="1"/>
      <c r="Q752" s="1"/>
      <c r="R752" s="1"/>
      <c r="S752" s="1"/>
      <c r="T752" s="1"/>
      <c r="U752" s="1"/>
      <c r="V752" s="1"/>
      <c r="W752" s="1"/>
      <c r="X752" s="1"/>
      <c r="Y752" s="1"/>
      <c r="AH752" s="1"/>
      <c r="AI752" s="1"/>
      <c r="AJ752" s="1"/>
      <c r="AK752" s="1"/>
      <c r="AL752" s="1"/>
      <c r="AM752" s="1"/>
      <c r="AN752" s="1"/>
    </row>
    <row r="753" spans="16:40" ht="15.75" customHeight="1" x14ac:dyDescent="0.25">
      <c r="P753" s="1"/>
      <c r="Q753" s="1"/>
      <c r="R753" s="1"/>
      <c r="S753" s="1"/>
      <c r="T753" s="1"/>
      <c r="U753" s="1"/>
      <c r="V753" s="1"/>
      <c r="W753" s="1"/>
      <c r="X753" s="1"/>
      <c r="Y753" s="1"/>
      <c r="AH753" s="1"/>
      <c r="AI753" s="1"/>
      <c r="AJ753" s="1"/>
      <c r="AK753" s="1"/>
      <c r="AL753" s="1"/>
      <c r="AM753" s="1"/>
      <c r="AN753" s="1"/>
    </row>
    <row r="754" spans="16:40" ht="15.75" customHeight="1" x14ac:dyDescent="0.25">
      <c r="P754" s="1"/>
      <c r="Q754" s="1"/>
      <c r="R754" s="1"/>
      <c r="S754" s="1"/>
      <c r="T754" s="1"/>
      <c r="U754" s="1"/>
      <c r="V754" s="1"/>
      <c r="W754" s="1"/>
      <c r="X754" s="1"/>
      <c r="Y754" s="1"/>
      <c r="AH754" s="1"/>
      <c r="AI754" s="1"/>
      <c r="AJ754" s="1"/>
      <c r="AK754" s="1"/>
      <c r="AL754" s="1"/>
      <c r="AM754" s="1"/>
      <c r="AN754" s="1"/>
    </row>
    <row r="755" spans="16:40" ht="15.75" customHeight="1" x14ac:dyDescent="0.25">
      <c r="P755" s="1"/>
      <c r="Q755" s="1"/>
      <c r="R755" s="1"/>
      <c r="S755" s="1"/>
      <c r="T755" s="1"/>
      <c r="U755" s="1"/>
      <c r="V755" s="1"/>
      <c r="W755" s="1"/>
      <c r="X755" s="1"/>
      <c r="Y755" s="1"/>
      <c r="AH755" s="1"/>
      <c r="AI755" s="1"/>
      <c r="AJ755" s="1"/>
      <c r="AK755" s="1"/>
      <c r="AL755" s="1"/>
      <c r="AM755" s="1"/>
      <c r="AN755" s="1"/>
    </row>
    <row r="756" spans="16:40" ht="15.75" customHeight="1" x14ac:dyDescent="0.25">
      <c r="P756" s="1"/>
      <c r="Q756" s="1"/>
      <c r="R756" s="1"/>
      <c r="S756" s="1"/>
      <c r="T756" s="1"/>
      <c r="U756" s="1"/>
      <c r="V756" s="1"/>
      <c r="W756" s="1"/>
      <c r="X756" s="1"/>
      <c r="Y756" s="1"/>
      <c r="AH756" s="1"/>
      <c r="AI756" s="1"/>
      <c r="AJ756" s="1"/>
      <c r="AK756" s="1"/>
      <c r="AL756" s="1"/>
      <c r="AM756" s="1"/>
      <c r="AN756" s="1"/>
    </row>
    <row r="757" spans="16:40" ht="15.75" customHeight="1" x14ac:dyDescent="0.25">
      <c r="P757" s="1"/>
      <c r="Q757" s="1"/>
      <c r="R757" s="1"/>
      <c r="S757" s="1"/>
      <c r="T757" s="1"/>
      <c r="U757" s="1"/>
      <c r="V757" s="1"/>
      <c r="W757" s="1"/>
      <c r="X757" s="1"/>
      <c r="Y757" s="1"/>
      <c r="AH757" s="1"/>
      <c r="AI757" s="1"/>
      <c r="AJ757" s="1"/>
      <c r="AK757" s="1"/>
      <c r="AL757" s="1"/>
      <c r="AM757" s="1"/>
      <c r="AN757" s="1"/>
    </row>
    <row r="758" spans="16:40" ht="15.75" customHeight="1" x14ac:dyDescent="0.25">
      <c r="P758" s="1"/>
      <c r="Q758" s="1"/>
      <c r="R758" s="1"/>
      <c r="S758" s="1"/>
      <c r="T758" s="1"/>
      <c r="U758" s="1"/>
      <c r="V758" s="1"/>
      <c r="W758" s="1"/>
      <c r="X758" s="1"/>
      <c r="Y758" s="1"/>
      <c r="AH758" s="1"/>
      <c r="AI758" s="1"/>
      <c r="AJ758" s="1"/>
      <c r="AK758" s="1"/>
      <c r="AL758" s="1"/>
      <c r="AM758" s="1"/>
      <c r="AN758" s="1"/>
    </row>
    <row r="759" spans="16:40" ht="15.75" customHeight="1" x14ac:dyDescent="0.25">
      <c r="P759" s="1"/>
      <c r="Q759" s="1"/>
      <c r="R759" s="1"/>
      <c r="S759" s="1"/>
      <c r="T759" s="1"/>
      <c r="U759" s="1"/>
      <c r="V759" s="1"/>
      <c r="W759" s="1"/>
      <c r="X759" s="1"/>
      <c r="Y759" s="1"/>
      <c r="AH759" s="1"/>
      <c r="AI759" s="1"/>
      <c r="AJ759" s="1"/>
      <c r="AK759" s="1"/>
      <c r="AL759" s="1"/>
      <c r="AM759" s="1"/>
      <c r="AN759" s="1"/>
    </row>
    <row r="760" spans="16:40" ht="15.75" customHeight="1" x14ac:dyDescent="0.25">
      <c r="P760" s="1"/>
      <c r="Q760" s="1"/>
      <c r="R760" s="1"/>
      <c r="S760" s="1"/>
      <c r="T760" s="1"/>
      <c r="U760" s="1"/>
      <c r="V760" s="1"/>
      <c r="W760" s="1"/>
      <c r="X760" s="1"/>
      <c r="Y760" s="1"/>
      <c r="AH760" s="1"/>
      <c r="AI760" s="1"/>
      <c r="AJ760" s="1"/>
      <c r="AK760" s="1"/>
      <c r="AL760" s="1"/>
      <c r="AM760" s="1"/>
      <c r="AN760" s="1"/>
    </row>
    <row r="761" spans="16:40" ht="15.75" customHeight="1" x14ac:dyDescent="0.25">
      <c r="P761" s="1"/>
      <c r="Q761" s="1"/>
      <c r="R761" s="1"/>
      <c r="S761" s="1"/>
      <c r="T761" s="1"/>
      <c r="U761" s="1"/>
      <c r="V761" s="1"/>
      <c r="W761" s="1"/>
      <c r="X761" s="1"/>
      <c r="Y761" s="1"/>
      <c r="AH761" s="1"/>
      <c r="AI761" s="1"/>
      <c r="AJ761" s="1"/>
      <c r="AK761" s="1"/>
      <c r="AL761" s="1"/>
      <c r="AM761" s="1"/>
      <c r="AN761" s="1"/>
    </row>
    <row r="762" spans="16:40" ht="15.75" customHeight="1" x14ac:dyDescent="0.25">
      <c r="P762" s="1"/>
      <c r="Q762" s="1"/>
      <c r="R762" s="1"/>
      <c r="S762" s="1"/>
      <c r="T762" s="1"/>
      <c r="U762" s="1"/>
      <c r="V762" s="1"/>
      <c r="W762" s="1"/>
      <c r="X762" s="1"/>
      <c r="Y762" s="1"/>
      <c r="AH762" s="1"/>
      <c r="AI762" s="1"/>
      <c r="AJ762" s="1"/>
      <c r="AK762" s="1"/>
      <c r="AL762" s="1"/>
      <c r="AM762" s="1"/>
      <c r="AN762" s="1"/>
    </row>
    <row r="763" spans="16:40" ht="15.75" customHeight="1" x14ac:dyDescent="0.25">
      <c r="P763" s="1"/>
      <c r="Q763" s="1"/>
      <c r="R763" s="1"/>
      <c r="S763" s="1"/>
      <c r="T763" s="1"/>
      <c r="U763" s="1"/>
      <c r="V763" s="1"/>
      <c r="W763" s="1"/>
      <c r="X763" s="1"/>
      <c r="Y763" s="1"/>
      <c r="AH763" s="1"/>
      <c r="AI763" s="1"/>
      <c r="AJ763" s="1"/>
      <c r="AK763" s="1"/>
      <c r="AL763" s="1"/>
      <c r="AM763" s="1"/>
      <c r="AN763" s="1"/>
    </row>
    <row r="764" spans="16:40" ht="15.75" customHeight="1" x14ac:dyDescent="0.25">
      <c r="P764" s="1"/>
      <c r="Q764" s="1"/>
      <c r="R764" s="1"/>
      <c r="S764" s="1"/>
      <c r="T764" s="1"/>
      <c r="U764" s="1"/>
      <c r="V764" s="1"/>
      <c r="W764" s="1"/>
      <c r="X764" s="1"/>
      <c r="Y764" s="1"/>
      <c r="AH764" s="1"/>
      <c r="AI764" s="1"/>
      <c r="AJ764" s="1"/>
      <c r="AK764" s="1"/>
      <c r="AL764" s="1"/>
      <c r="AM764" s="1"/>
      <c r="AN764" s="1"/>
    </row>
    <row r="765" spans="16:40" ht="15.75" customHeight="1" x14ac:dyDescent="0.25">
      <c r="P765" s="1"/>
      <c r="Q765" s="1"/>
      <c r="R765" s="1"/>
      <c r="S765" s="1"/>
      <c r="T765" s="1"/>
      <c r="U765" s="1"/>
      <c r="V765" s="1"/>
      <c r="W765" s="1"/>
      <c r="X765" s="1"/>
      <c r="Y765" s="1"/>
      <c r="AH765" s="1"/>
      <c r="AI765" s="1"/>
      <c r="AJ765" s="1"/>
      <c r="AK765" s="1"/>
      <c r="AL765" s="1"/>
      <c r="AM765" s="1"/>
      <c r="AN765" s="1"/>
    </row>
    <row r="766" spans="16:40" ht="15.75" customHeight="1" x14ac:dyDescent="0.25">
      <c r="P766" s="1"/>
      <c r="Q766" s="1"/>
      <c r="R766" s="1"/>
      <c r="S766" s="1"/>
      <c r="T766" s="1"/>
      <c r="U766" s="1"/>
      <c r="V766" s="1"/>
      <c r="W766" s="1"/>
      <c r="X766" s="1"/>
      <c r="Y766" s="1"/>
      <c r="AH766" s="1"/>
      <c r="AI766" s="1"/>
      <c r="AJ766" s="1"/>
      <c r="AK766" s="1"/>
      <c r="AL766" s="1"/>
      <c r="AM766" s="1"/>
      <c r="AN766" s="1"/>
    </row>
    <row r="767" spans="16:40" ht="15.75" customHeight="1" x14ac:dyDescent="0.25">
      <c r="P767" s="1"/>
      <c r="Q767" s="1"/>
      <c r="R767" s="1"/>
      <c r="S767" s="1"/>
      <c r="T767" s="1"/>
      <c r="U767" s="1"/>
      <c r="V767" s="1"/>
      <c r="W767" s="1"/>
      <c r="X767" s="1"/>
      <c r="Y767" s="1"/>
      <c r="AH767" s="1"/>
      <c r="AI767" s="1"/>
      <c r="AJ767" s="1"/>
      <c r="AK767" s="1"/>
      <c r="AL767" s="1"/>
      <c r="AM767" s="1"/>
      <c r="AN767" s="1"/>
    </row>
    <row r="768" spans="16:40" ht="15.75" customHeight="1" x14ac:dyDescent="0.25">
      <c r="P768" s="1"/>
      <c r="Q768" s="1"/>
      <c r="R768" s="1"/>
      <c r="S768" s="1"/>
      <c r="T768" s="1"/>
      <c r="U768" s="1"/>
      <c r="V768" s="1"/>
      <c r="W768" s="1"/>
      <c r="X768" s="1"/>
      <c r="Y768" s="1"/>
      <c r="AH768" s="1"/>
      <c r="AI768" s="1"/>
      <c r="AJ768" s="1"/>
      <c r="AK768" s="1"/>
      <c r="AL768" s="1"/>
      <c r="AM768" s="1"/>
      <c r="AN768" s="1"/>
    </row>
    <row r="769" spans="16:40" ht="15.75" customHeight="1" x14ac:dyDescent="0.25">
      <c r="P769" s="1"/>
      <c r="Q769" s="1"/>
      <c r="R769" s="1"/>
      <c r="S769" s="1"/>
      <c r="T769" s="1"/>
      <c r="U769" s="1"/>
      <c r="V769" s="1"/>
      <c r="W769" s="1"/>
      <c r="X769" s="1"/>
      <c r="Y769" s="1"/>
      <c r="AH769" s="1"/>
      <c r="AI769" s="1"/>
      <c r="AJ769" s="1"/>
      <c r="AK769" s="1"/>
      <c r="AL769" s="1"/>
      <c r="AM769" s="1"/>
      <c r="AN769" s="1"/>
    </row>
    <row r="770" spans="16:40" ht="15.75" customHeight="1" x14ac:dyDescent="0.25">
      <c r="P770" s="1"/>
      <c r="Q770" s="1"/>
      <c r="R770" s="1"/>
      <c r="S770" s="1"/>
      <c r="T770" s="1"/>
      <c r="U770" s="1"/>
      <c r="V770" s="1"/>
      <c r="W770" s="1"/>
      <c r="X770" s="1"/>
      <c r="Y770" s="1"/>
      <c r="AH770" s="1"/>
      <c r="AI770" s="1"/>
      <c r="AJ770" s="1"/>
      <c r="AK770" s="1"/>
      <c r="AL770" s="1"/>
      <c r="AM770" s="1"/>
      <c r="AN770" s="1"/>
    </row>
    <row r="771" spans="16:40" ht="15.75" customHeight="1" x14ac:dyDescent="0.25">
      <c r="P771" s="1"/>
      <c r="Q771" s="1"/>
      <c r="R771" s="1"/>
      <c r="S771" s="1"/>
      <c r="T771" s="1"/>
      <c r="U771" s="1"/>
      <c r="V771" s="1"/>
      <c r="W771" s="1"/>
      <c r="X771" s="1"/>
      <c r="Y771" s="1"/>
      <c r="AH771" s="1"/>
      <c r="AI771" s="1"/>
      <c r="AJ771" s="1"/>
      <c r="AK771" s="1"/>
      <c r="AL771" s="1"/>
      <c r="AM771" s="1"/>
      <c r="AN771" s="1"/>
    </row>
    <row r="772" spans="16:40" ht="15.75" customHeight="1" x14ac:dyDescent="0.25">
      <c r="P772" s="1"/>
      <c r="Q772" s="1"/>
      <c r="R772" s="1"/>
      <c r="S772" s="1"/>
      <c r="T772" s="1"/>
      <c r="U772" s="1"/>
      <c r="V772" s="1"/>
      <c r="W772" s="1"/>
      <c r="X772" s="1"/>
      <c r="Y772" s="1"/>
      <c r="AH772" s="1"/>
      <c r="AI772" s="1"/>
      <c r="AJ772" s="1"/>
      <c r="AK772" s="1"/>
      <c r="AL772" s="1"/>
      <c r="AM772" s="1"/>
      <c r="AN772" s="1"/>
    </row>
    <row r="773" spans="16:40" ht="15.75" customHeight="1" x14ac:dyDescent="0.25">
      <c r="P773" s="1"/>
      <c r="Q773" s="1"/>
      <c r="R773" s="1"/>
      <c r="S773" s="1"/>
      <c r="T773" s="1"/>
      <c r="U773" s="1"/>
      <c r="V773" s="1"/>
      <c r="W773" s="1"/>
      <c r="X773" s="1"/>
      <c r="Y773" s="1"/>
      <c r="AH773" s="1"/>
      <c r="AI773" s="1"/>
      <c r="AJ773" s="1"/>
      <c r="AK773" s="1"/>
      <c r="AL773" s="1"/>
      <c r="AM773" s="1"/>
      <c r="AN773" s="1"/>
    </row>
    <row r="774" spans="16:40" ht="15.75" customHeight="1" x14ac:dyDescent="0.25">
      <c r="P774" s="1"/>
      <c r="Q774" s="1"/>
      <c r="R774" s="1"/>
      <c r="S774" s="1"/>
      <c r="T774" s="1"/>
      <c r="U774" s="1"/>
      <c r="V774" s="1"/>
      <c r="W774" s="1"/>
      <c r="X774" s="1"/>
      <c r="Y774" s="1"/>
      <c r="AH774" s="1"/>
      <c r="AI774" s="1"/>
      <c r="AJ774" s="1"/>
      <c r="AK774" s="1"/>
      <c r="AL774" s="1"/>
      <c r="AM774" s="1"/>
      <c r="AN774" s="1"/>
    </row>
    <row r="775" spans="16:40" ht="15.75" customHeight="1" x14ac:dyDescent="0.25">
      <c r="P775" s="1"/>
      <c r="Q775" s="1"/>
      <c r="R775" s="1"/>
      <c r="S775" s="1"/>
      <c r="T775" s="1"/>
      <c r="U775" s="1"/>
      <c r="V775" s="1"/>
      <c r="W775" s="1"/>
      <c r="X775" s="1"/>
      <c r="Y775" s="1"/>
      <c r="AH775" s="1"/>
      <c r="AI775" s="1"/>
      <c r="AJ775" s="1"/>
      <c r="AK775" s="1"/>
      <c r="AL775" s="1"/>
      <c r="AM775" s="1"/>
      <c r="AN775" s="1"/>
    </row>
    <row r="776" spans="16:40" ht="15.75" customHeight="1" x14ac:dyDescent="0.25">
      <c r="P776" s="1"/>
      <c r="Q776" s="1"/>
      <c r="R776" s="1"/>
      <c r="S776" s="1"/>
      <c r="T776" s="1"/>
      <c r="U776" s="1"/>
      <c r="V776" s="1"/>
      <c r="W776" s="1"/>
      <c r="X776" s="1"/>
      <c r="Y776" s="1"/>
      <c r="AH776" s="1"/>
      <c r="AI776" s="1"/>
      <c r="AJ776" s="1"/>
      <c r="AK776" s="1"/>
      <c r="AL776" s="1"/>
      <c r="AM776" s="1"/>
      <c r="AN776" s="1"/>
    </row>
    <row r="777" spans="16:40" ht="15.75" customHeight="1" x14ac:dyDescent="0.25">
      <c r="P777" s="1"/>
      <c r="Q777" s="1"/>
      <c r="R777" s="1"/>
      <c r="S777" s="1"/>
      <c r="T777" s="1"/>
      <c r="U777" s="1"/>
      <c r="V777" s="1"/>
      <c r="W777" s="1"/>
      <c r="X777" s="1"/>
      <c r="Y777" s="1"/>
      <c r="AH777" s="1"/>
      <c r="AI777" s="1"/>
      <c r="AJ777" s="1"/>
      <c r="AK777" s="1"/>
      <c r="AL777" s="1"/>
      <c r="AM777" s="1"/>
      <c r="AN777" s="1"/>
    </row>
    <row r="778" spans="16:40" ht="15.75" customHeight="1" x14ac:dyDescent="0.25">
      <c r="P778" s="1"/>
      <c r="Q778" s="1"/>
      <c r="R778" s="1"/>
      <c r="S778" s="1"/>
      <c r="T778" s="1"/>
      <c r="U778" s="1"/>
      <c r="V778" s="1"/>
      <c r="W778" s="1"/>
      <c r="X778" s="1"/>
      <c r="Y778" s="1"/>
      <c r="AH778" s="1"/>
      <c r="AI778" s="1"/>
      <c r="AJ778" s="1"/>
      <c r="AK778" s="1"/>
      <c r="AL778" s="1"/>
      <c r="AM778" s="1"/>
      <c r="AN778" s="1"/>
    </row>
    <row r="779" spans="16:40" ht="15.75" customHeight="1" x14ac:dyDescent="0.25">
      <c r="P779" s="1"/>
      <c r="Q779" s="1"/>
      <c r="R779" s="1"/>
      <c r="S779" s="1"/>
      <c r="T779" s="1"/>
      <c r="U779" s="1"/>
      <c r="V779" s="1"/>
      <c r="W779" s="1"/>
      <c r="X779" s="1"/>
      <c r="Y779" s="1"/>
      <c r="AH779" s="1"/>
      <c r="AI779" s="1"/>
      <c r="AJ779" s="1"/>
      <c r="AK779" s="1"/>
      <c r="AL779" s="1"/>
      <c r="AM779" s="1"/>
      <c r="AN779" s="1"/>
    </row>
    <row r="780" spans="16:40" ht="15.75" customHeight="1" x14ac:dyDescent="0.25">
      <c r="P780" s="1"/>
      <c r="Q780" s="1"/>
      <c r="R780" s="1"/>
      <c r="S780" s="1"/>
      <c r="T780" s="1"/>
      <c r="U780" s="1"/>
      <c r="V780" s="1"/>
      <c r="W780" s="1"/>
      <c r="X780" s="1"/>
      <c r="Y780" s="1"/>
      <c r="AH780" s="1"/>
      <c r="AI780" s="1"/>
      <c r="AJ780" s="1"/>
      <c r="AK780" s="1"/>
      <c r="AL780" s="1"/>
      <c r="AM780" s="1"/>
      <c r="AN780" s="1"/>
    </row>
    <row r="781" spans="16:40" ht="15.75" customHeight="1" x14ac:dyDescent="0.25">
      <c r="P781" s="1"/>
      <c r="Q781" s="1"/>
      <c r="R781" s="1"/>
      <c r="S781" s="1"/>
      <c r="T781" s="1"/>
      <c r="U781" s="1"/>
      <c r="V781" s="1"/>
      <c r="W781" s="1"/>
      <c r="X781" s="1"/>
      <c r="Y781" s="1"/>
      <c r="AH781" s="1"/>
      <c r="AI781" s="1"/>
      <c r="AJ781" s="1"/>
      <c r="AK781" s="1"/>
      <c r="AL781" s="1"/>
      <c r="AM781" s="1"/>
      <c r="AN781" s="1"/>
    </row>
    <row r="782" spans="16:40" ht="15.75" customHeight="1" x14ac:dyDescent="0.25">
      <c r="P782" s="1"/>
      <c r="Q782" s="1"/>
      <c r="R782" s="1"/>
      <c r="S782" s="1"/>
      <c r="T782" s="1"/>
      <c r="U782" s="1"/>
      <c r="V782" s="1"/>
      <c r="W782" s="1"/>
      <c r="X782" s="1"/>
      <c r="Y782" s="1"/>
      <c r="AH782" s="1"/>
      <c r="AI782" s="1"/>
      <c r="AJ782" s="1"/>
      <c r="AK782" s="1"/>
      <c r="AL782" s="1"/>
      <c r="AM782" s="1"/>
      <c r="AN782" s="1"/>
    </row>
    <row r="783" spans="16:40" ht="15.75" customHeight="1" x14ac:dyDescent="0.25">
      <c r="P783" s="1"/>
      <c r="Q783" s="1"/>
      <c r="R783" s="1"/>
      <c r="S783" s="1"/>
      <c r="T783" s="1"/>
      <c r="U783" s="1"/>
      <c r="V783" s="1"/>
      <c r="W783" s="1"/>
      <c r="X783" s="1"/>
      <c r="Y783" s="1"/>
      <c r="AH783" s="1"/>
      <c r="AI783" s="1"/>
      <c r="AJ783" s="1"/>
      <c r="AK783" s="1"/>
      <c r="AL783" s="1"/>
      <c r="AM783" s="1"/>
      <c r="AN783" s="1"/>
    </row>
    <row r="784" spans="16:40" ht="15.75" customHeight="1" x14ac:dyDescent="0.25">
      <c r="P784" s="1"/>
      <c r="Q784" s="1"/>
      <c r="R784" s="1"/>
      <c r="S784" s="1"/>
      <c r="T784" s="1"/>
      <c r="U784" s="1"/>
      <c r="V784" s="1"/>
      <c r="W784" s="1"/>
      <c r="X784" s="1"/>
      <c r="Y784" s="1"/>
      <c r="AH784" s="1"/>
      <c r="AI784" s="1"/>
      <c r="AJ784" s="1"/>
      <c r="AK784" s="1"/>
      <c r="AL784" s="1"/>
      <c r="AM784" s="1"/>
      <c r="AN784" s="1"/>
    </row>
    <row r="785" spans="16:40" ht="15.75" customHeight="1" x14ac:dyDescent="0.25">
      <c r="P785" s="1"/>
      <c r="Q785" s="1"/>
      <c r="R785" s="1"/>
      <c r="S785" s="1"/>
      <c r="T785" s="1"/>
      <c r="U785" s="1"/>
      <c r="V785" s="1"/>
      <c r="W785" s="1"/>
      <c r="X785" s="1"/>
      <c r="Y785" s="1"/>
      <c r="AH785" s="1"/>
      <c r="AI785" s="1"/>
      <c r="AJ785" s="1"/>
      <c r="AK785" s="1"/>
      <c r="AL785" s="1"/>
      <c r="AM785" s="1"/>
      <c r="AN785" s="1"/>
    </row>
    <row r="786" spans="16:40" ht="15.75" customHeight="1" x14ac:dyDescent="0.25">
      <c r="P786" s="1"/>
      <c r="Q786" s="1"/>
      <c r="R786" s="1"/>
      <c r="S786" s="1"/>
      <c r="T786" s="1"/>
      <c r="U786" s="1"/>
      <c r="V786" s="1"/>
      <c r="W786" s="1"/>
      <c r="X786" s="1"/>
      <c r="Y786" s="1"/>
      <c r="AH786" s="1"/>
      <c r="AI786" s="1"/>
      <c r="AJ786" s="1"/>
      <c r="AK786" s="1"/>
      <c r="AL786" s="1"/>
      <c r="AM786" s="1"/>
      <c r="AN786" s="1"/>
    </row>
    <row r="787" spans="16:40" ht="15.75" customHeight="1" x14ac:dyDescent="0.25">
      <c r="P787" s="1"/>
      <c r="Q787" s="1"/>
      <c r="R787" s="1"/>
      <c r="S787" s="1"/>
      <c r="T787" s="1"/>
      <c r="U787" s="1"/>
      <c r="V787" s="1"/>
      <c r="W787" s="1"/>
      <c r="X787" s="1"/>
      <c r="Y787" s="1"/>
      <c r="AH787" s="1"/>
      <c r="AI787" s="1"/>
      <c r="AJ787" s="1"/>
      <c r="AK787" s="1"/>
      <c r="AL787" s="1"/>
      <c r="AM787" s="1"/>
      <c r="AN787" s="1"/>
    </row>
    <row r="788" spans="16:40" ht="15.75" customHeight="1" x14ac:dyDescent="0.25">
      <c r="P788" s="1"/>
      <c r="Q788" s="1"/>
      <c r="R788" s="1"/>
      <c r="S788" s="1"/>
      <c r="T788" s="1"/>
      <c r="U788" s="1"/>
      <c r="V788" s="1"/>
      <c r="W788" s="1"/>
      <c r="X788" s="1"/>
      <c r="Y788" s="1"/>
      <c r="AH788" s="1"/>
      <c r="AI788" s="1"/>
      <c r="AJ788" s="1"/>
      <c r="AK788" s="1"/>
      <c r="AL788" s="1"/>
      <c r="AM788" s="1"/>
      <c r="AN788" s="1"/>
    </row>
    <row r="789" spans="16:40" ht="15.75" customHeight="1" x14ac:dyDescent="0.25">
      <c r="P789" s="1"/>
      <c r="Q789" s="1"/>
      <c r="R789" s="1"/>
      <c r="S789" s="1"/>
      <c r="T789" s="1"/>
      <c r="U789" s="1"/>
      <c r="V789" s="1"/>
      <c r="W789" s="1"/>
      <c r="X789" s="1"/>
      <c r="Y789" s="1"/>
      <c r="AH789" s="1"/>
      <c r="AI789" s="1"/>
      <c r="AJ789" s="1"/>
      <c r="AK789" s="1"/>
      <c r="AL789" s="1"/>
      <c r="AM789" s="1"/>
      <c r="AN789" s="1"/>
    </row>
    <row r="790" spans="16:40" ht="15.75" customHeight="1" x14ac:dyDescent="0.25">
      <c r="P790" s="1"/>
      <c r="Q790" s="1"/>
      <c r="R790" s="1"/>
      <c r="S790" s="1"/>
      <c r="T790" s="1"/>
      <c r="U790" s="1"/>
      <c r="V790" s="1"/>
      <c r="W790" s="1"/>
      <c r="X790" s="1"/>
      <c r="Y790" s="1"/>
      <c r="AH790" s="1"/>
      <c r="AI790" s="1"/>
      <c r="AJ790" s="1"/>
      <c r="AK790" s="1"/>
      <c r="AL790" s="1"/>
      <c r="AM790" s="1"/>
      <c r="AN790" s="1"/>
    </row>
    <row r="791" spans="16:40" ht="15.75" customHeight="1" x14ac:dyDescent="0.25">
      <c r="P791" s="1"/>
      <c r="Q791" s="1"/>
      <c r="R791" s="1"/>
      <c r="S791" s="1"/>
      <c r="T791" s="1"/>
      <c r="U791" s="1"/>
      <c r="V791" s="1"/>
      <c r="W791" s="1"/>
      <c r="X791" s="1"/>
      <c r="Y791" s="1"/>
      <c r="AH791" s="1"/>
      <c r="AI791" s="1"/>
      <c r="AJ791" s="1"/>
      <c r="AK791" s="1"/>
      <c r="AL791" s="1"/>
      <c r="AM791" s="1"/>
      <c r="AN791" s="1"/>
    </row>
    <row r="792" spans="16:40" ht="15.75" customHeight="1" x14ac:dyDescent="0.25">
      <c r="P792" s="1"/>
      <c r="Q792" s="1"/>
      <c r="R792" s="1"/>
      <c r="S792" s="1"/>
      <c r="T792" s="1"/>
      <c r="U792" s="1"/>
      <c r="V792" s="1"/>
      <c r="W792" s="1"/>
      <c r="X792" s="1"/>
      <c r="Y792" s="1"/>
      <c r="AH792" s="1"/>
      <c r="AI792" s="1"/>
      <c r="AJ792" s="1"/>
      <c r="AK792" s="1"/>
      <c r="AL792" s="1"/>
      <c r="AM792" s="1"/>
      <c r="AN792" s="1"/>
    </row>
    <row r="793" spans="16:40" ht="15.75" customHeight="1" x14ac:dyDescent="0.25">
      <c r="P793" s="1"/>
      <c r="Q793" s="1"/>
      <c r="R793" s="1"/>
      <c r="S793" s="1"/>
      <c r="T793" s="1"/>
      <c r="U793" s="1"/>
      <c r="V793" s="1"/>
      <c r="W793" s="1"/>
      <c r="X793" s="1"/>
      <c r="Y793" s="1"/>
      <c r="AH793" s="1"/>
      <c r="AI793" s="1"/>
      <c r="AJ793" s="1"/>
      <c r="AK793" s="1"/>
      <c r="AL793" s="1"/>
      <c r="AM793" s="1"/>
      <c r="AN793" s="1"/>
    </row>
    <row r="794" spans="16:40" ht="15.75" customHeight="1" x14ac:dyDescent="0.25">
      <c r="P794" s="1"/>
      <c r="Q794" s="1"/>
      <c r="R794" s="1"/>
      <c r="S794" s="1"/>
      <c r="T794" s="1"/>
      <c r="U794" s="1"/>
      <c r="V794" s="1"/>
      <c r="W794" s="1"/>
      <c r="X794" s="1"/>
      <c r="Y794" s="1"/>
      <c r="AH794" s="1"/>
      <c r="AI794" s="1"/>
      <c r="AJ794" s="1"/>
      <c r="AK794" s="1"/>
      <c r="AL794" s="1"/>
      <c r="AM794" s="1"/>
      <c r="AN794" s="1"/>
    </row>
    <row r="795" spans="16:40" ht="15.75" customHeight="1" x14ac:dyDescent="0.25">
      <c r="P795" s="1"/>
      <c r="Q795" s="1"/>
      <c r="R795" s="1"/>
      <c r="S795" s="1"/>
      <c r="T795" s="1"/>
      <c r="U795" s="1"/>
      <c r="V795" s="1"/>
      <c r="W795" s="1"/>
      <c r="X795" s="1"/>
      <c r="Y795" s="1"/>
      <c r="AH795" s="1"/>
      <c r="AI795" s="1"/>
      <c r="AJ795" s="1"/>
      <c r="AK795" s="1"/>
      <c r="AL795" s="1"/>
      <c r="AM795" s="1"/>
      <c r="AN795" s="1"/>
    </row>
    <row r="796" spans="16:40" ht="15.75" customHeight="1" x14ac:dyDescent="0.25">
      <c r="P796" s="1"/>
      <c r="Q796" s="1"/>
      <c r="R796" s="1"/>
      <c r="S796" s="1"/>
      <c r="T796" s="1"/>
      <c r="U796" s="1"/>
      <c r="V796" s="1"/>
      <c r="W796" s="1"/>
      <c r="X796" s="1"/>
      <c r="Y796" s="1"/>
      <c r="AH796" s="1"/>
      <c r="AI796" s="1"/>
      <c r="AJ796" s="1"/>
      <c r="AK796" s="1"/>
      <c r="AL796" s="1"/>
      <c r="AM796" s="1"/>
      <c r="AN796" s="1"/>
    </row>
    <row r="797" spans="16:40" ht="15.75" customHeight="1" x14ac:dyDescent="0.25">
      <c r="P797" s="1"/>
      <c r="Q797" s="1"/>
      <c r="R797" s="1"/>
      <c r="S797" s="1"/>
      <c r="T797" s="1"/>
      <c r="U797" s="1"/>
      <c r="V797" s="1"/>
      <c r="W797" s="1"/>
      <c r="X797" s="1"/>
      <c r="Y797" s="1"/>
      <c r="AH797" s="1"/>
      <c r="AI797" s="1"/>
      <c r="AJ797" s="1"/>
      <c r="AK797" s="1"/>
      <c r="AL797" s="1"/>
      <c r="AM797" s="1"/>
      <c r="AN797" s="1"/>
    </row>
    <row r="798" spans="16:40" ht="15.75" customHeight="1" x14ac:dyDescent="0.25">
      <c r="P798" s="1"/>
      <c r="Q798" s="1"/>
      <c r="R798" s="1"/>
      <c r="S798" s="1"/>
      <c r="T798" s="1"/>
      <c r="U798" s="1"/>
      <c r="V798" s="1"/>
      <c r="W798" s="1"/>
      <c r="X798" s="1"/>
      <c r="Y798" s="1"/>
      <c r="AH798" s="1"/>
      <c r="AI798" s="1"/>
      <c r="AJ798" s="1"/>
      <c r="AK798" s="1"/>
      <c r="AL798" s="1"/>
      <c r="AM798" s="1"/>
      <c r="AN798" s="1"/>
    </row>
    <row r="799" spans="16:40" ht="15.75" customHeight="1" x14ac:dyDescent="0.25">
      <c r="P799" s="1"/>
      <c r="Q799" s="1"/>
      <c r="R799" s="1"/>
      <c r="S799" s="1"/>
      <c r="T799" s="1"/>
      <c r="U799" s="1"/>
      <c r="V799" s="1"/>
      <c r="W799" s="1"/>
      <c r="X799" s="1"/>
      <c r="Y799" s="1"/>
      <c r="AH799" s="1"/>
      <c r="AI799" s="1"/>
      <c r="AJ799" s="1"/>
      <c r="AK799" s="1"/>
      <c r="AL799" s="1"/>
      <c r="AM799" s="1"/>
      <c r="AN799" s="1"/>
    </row>
    <row r="800" spans="16:40" ht="15.75" customHeight="1" x14ac:dyDescent="0.25">
      <c r="P800" s="1"/>
      <c r="Q800" s="1"/>
      <c r="R800" s="1"/>
      <c r="S800" s="1"/>
      <c r="T800" s="1"/>
      <c r="U800" s="1"/>
      <c r="V800" s="1"/>
      <c r="W800" s="1"/>
      <c r="X800" s="1"/>
      <c r="Y800" s="1"/>
      <c r="AH800" s="1"/>
      <c r="AI800" s="1"/>
      <c r="AJ800" s="1"/>
      <c r="AK800" s="1"/>
      <c r="AL800" s="1"/>
      <c r="AM800" s="1"/>
      <c r="AN800" s="1"/>
    </row>
    <row r="801" spans="16:40" ht="15.75" customHeight="1" x14ac:dyDescent="0.25">
      <c r="P801" s="1"/>
      <c r="Q801" s="1"/>
      <c r="R801" s="1"/>
      <c r="S801" s="1"/>
      <c r="T801" s="1"/>
      <c r="U801" s="1"/>
      <c r="V801" s="1"/>
      <c r="W801" s="1"/>
      <c r="X801" s="1"/>
      <c r="Y801" s="1"/>
      <c r="AH801" s="1"/>
      <c r="AI801" s="1"/>
      <c r="AJ801" s="1"/>
      <c r="AK801" s="1"/>
      <c r="AL801" s="1"/>
      <c r="AM801" s="1"/>
      <c r="AN801" s="1"/>
    </row>
    <row r="802" spans="16:40" ht="15.75" customHeight="1" x14ac:dyDescent="0.25">
      <c r="P802" s="1"/>
      <c r="Q802" s="1"/>
      <c r="R802" s="1"/>
      <c r="S802" s="1"/>
      <c r="T802" s="1"/>
      <c r="U802" s="1"/>
      <c r="V802" s="1"/>
      <c r="W802" s="1"/>
      <c r="X802" s="1"/>
      <c r="Y802" s="1"/>
      <c r="AH802" s="1"/>
      <c r="AI802" s="1"/>
      <c r="AJ802" s="1"/>
      <c r="AK802" s="1"/>
      <c r="AL802" s="1"/>
      <c r="AM802" s="1"/>
      <c r="AN802" s="1"/>
    </row>
    <row r="803" spans="16:40" ht="15.75" customHeight="1" x14ac:dyDescent="0.25">
      <c r="P803" s="1"/>
      <c r="Q803" s="1"/>
      <c r="R803" s="1"/>
      <c r="S803" s="1"/>
      <c r="T803" s="1"/>
      <c r="U803" s="1"/>
      <c r="V803" s="1"/>
      <c r="W803" s="1"/>
      <c r="X803" s="1"/>
      <c r="Y803" s="1"/>
      <c r="AH803" s="1"/>
      <c r="AI803" s="1"/>
      <c r="AJ803" s="1"/>
      <c r="AK803" s="1"/>
      <c r="AL803" s="1"/>
      <c r="AM803" s="1"/>
      <c r="AN803" s="1"/>
    </row>
    <row r="804" spans="16:40" ht="15.75" customHeight="1" x14ac:dyDescent="0.25">
      <c r="P804" s="1"/>
      <c r="Q804" s="1"/>
      <c r="R804" s="1"/>
      <c r="S804" s="1"/>
      <c r="T804" s="1"/>
      <c r="U804" s="1"/>
      <c r="V804" s="1"/>
      <c r="W804" s="1"/>
      <c r="X804" s="1"/>
      <c r="Y804" s="1"/>
      <c r="AH804" s="1"/>
      <c r="AI804" s="1"/>
      <c r="AJ804" s="1"/>
      <c r="AK804" s="1"/>
      <c r="AL804" s="1"/>
      <c r="AM804" s="1"/>
      <c r="AN804" s="1"/>
    </row>
    <row r="805" spans="16:40" ht="15.75" customHeight="1" x14ac:dyDescent="0.25">
      <c r="P805" s="1"/>
      <c r="Q805" s="1"/>
      <c r="R805" s="1"/>
      <c r="S805" s="1"/>
      <c r="T805" s="1"/>
      <c r="U805" s="1"/>
      <c r="V805" s="1"/>
      <c r="W805" s="1"/>
      <c r="X805" s="1"/>
      <c r="Y805" s="1"/>
      <c r="AH805" s="1"/>
      <c r="AI805" s="1"/>
      <c r="AJ805" s="1"/>
      <c r="AK805" s="1"/>
      <c r="AL805" s="1"/>
      <c r="AM805" s="1"/>
      <c r="AN805" s="1"/>
    </row>
    <row r="806" spans="16:40" ht="15.75" customHeight="1" x14ac:dyDescent="0.25">
      <c r="P806" s="1"/>
      <c r="Q806" s="1"/>
      <c r="R806" s="1"/>
      <c r="S806" s="1"/>
      <c r="T806" s="1"/>
      <c r="U806" s="1"/>
      <c r="V806" s="1"/>
      <c r="W806" s="1"/>
      <c r="X806" s="1"/>
      <c r="Y806" s="1"/>
      <c r="AH806" s="1"/>
      <c r="AI806" s="1"/>
      <c r="AJ806" s="1"/>
      <c r="AK806" s="1"/>
      <c r="AL806" s="1"/>
      <c r="AM806" s="1"/>
      <c r="AN806" s="1"/>
    </row>
    <row r="807" spans="16:40" ht="15.75" customHeight="1" x14ac:dyDescent="0.25">
      <c r="P807" s="1"/>
      <c r="Q807" s="1"/>
      <c r="R807" s="1"/>
      <c r="S807" s="1"/>
      <c r="T807" s="1"/>
      <c r="U807" s="1"/>
      <c r="V807" s="1"/>
      <c r="W807" s="1"/>
      <c r="X807" s="1"/>
      <c r="Y807" s="1"/>
      <c r="AH807" s="1"/>
      <c r="AI807" s="1"/>
      <c r="AJ807" s="1"/>
      <c r="AK807" s="1"/>
      <c r="AL807" s="1"/>
      <c r="AM807" s="1"/>
      <c r="AN807" s="1"/>
    </row>
    <row r="808" spans="16:40" ht="15.75" customHeight="1" x14ac:dyDescent="0.25">
      <c r="P808" s="1"/>
      <c r="Q808" s="1"/>
      <c r="R808" s="1"/>
      <c r="S808" s="1"/>
      <c r="T808" s="1"/>
      <c r="U808" s="1"/>
      <c r="V808" s="1"/>
      <c r="W808" s="1"/>
      <c r="X808" s="1"/>
      <c r="Y808" s="1"/>
      <c r="AH808" s="1"/>
      <c r="AI808" s="1"/>
      <c r="AJ808" s="1"/>
      <c r="AK808" s="1"/>
      <c r="AL808" s="1"/>
      <c r="AM808" s="1"/>
      <c r="AN808" s="1"/>
    </row>
    <row r="809" spans="16:40" ht="15.75" customHeight="1" x14ac:dyDescent="0.25">
      <c r="P809" s="1"/>
      <c r="Q809" s="1"/>
      <c r="R809" s="1"/>
      <c r="S809" s="1"/>
      <c r="T809" s="1"/>
      <c r="U809" s="1"/>
      <c r="V809" s="1"/>
      <c r="W809" s="1"/>
      <c r="X809" s="1"/>
      <c r="Y809" s="1"/>
      <c r="AH809" s="1"/>
      <c r="AI809" s="1"/>
      <c r="AJ809" s="1"/>
      <c r="AK809" s="1"/>
      <c r="AL809" s="1"/>
      <c r="AM809" s="1"/>
      <c r="AN809" s="1"/>
    </row>
    <row r="810" spans="16:40" ht="15.75" customHeight="1" x14ac:dyDescent="0.25">
      <c r="P810" s="1"/>
      <c r="Q810" s="1"/>
      <c r="R810" s="1"/>
      <c r="S810" s="1"/>
      <c r="T810" s="1"/>
      <c r="U810" s="1"/>
      <c r="V810" s="1"/>
      <c r="W810" s="1"/>
      <c r="X810" s="1"/>
      <c r="Y810" s="1"/>
      <c r="AH810" s="1"/>
      <c r="AI810" s="1"/>
      <c r="AJ810" s="1"/>
      <c r="AK810" s="1"/>
      <c r="AL810" s="1"/>
      <c r="AM810" s="1"/>
      <c r="AN810" s="1"/>
    </row>
    <row r="811" spans="16:40" ht="15.75" customHeight="1" x14ac:dyDescent="0.25">
      <c r="P811" s="1"/>
      <c r="Q811" s="1"/>
      <c r="R811" s="1"/>
      <c r="S811" s="1"/>
      <c r="T811" s="1"/>
      <c r="U811" s="1"/>
      <c r="V811" s="1"/>
      <c r="W811" s="1"/>
      <c r="X811" s="1"/>
      <c r="Y811" s="1"/>
      <c r="AH811" s="1"/>
      <c r="AI811" s="1"/>
      <c r="AJ811" s="1"/>
      <c r="AK811" s="1"/>
      <c r="AL811" s="1"/>
      <c r="AM811" s="1"/>
      <c r="AN811" s="1"/>
    </row>
    <row r="812" spans="16:40" ht="15.75" customHeight="1" x14ac:dyDescent="0.25">
      <c r="P812" s="1"/>
      <c r="Q812" s="1"/>
      <c r="R812" s="1"/>
      <c r="S812" s="1"/>
      <c r="T812" s="1"/>
      <c r="U812" s="1"/>
      <c r="V812" s="1"/>
      <c r="W812" s="1"/>
      <c r="X812" s="1"/>
      <c r="Y812" s="1"/>
      <c r="AH812" s="1"/>
      <c r="AI812" s="1"/>
      <c r="AJ812" s="1"/>
      <c r="AK812" s="1"/>
      <c r="AL812" s="1"/>
      <c r="AM812" s="1"/>
      <c r="AN812" s="1"/>
    </row>
    <row r="813" spans="16:40" ht="15.75" customHeight="1" x14ac:dyDescent="0.25">
      <c r="P813" s="1"/>
      <c r="Q813" s="1"/>
      <c r="R813" s="1"/>
      <c r="S813" s="1"/>
      <c r="T813" s="1"/>
      <c r="U813" s="1"/>
      <c r="V813" s="1"/>
      <c r="W813" s="1"/>
      <c r="X813" s="1"/>
      <c r="Y813" s="1"/>
      <c r="AH813" s="1"/>
      <c r="AI813" s="1"/>
      <c r="AJ813" s="1"/>
      <c r="AK813" s="1"/>
      <c r="AL813" s="1"/>
      <c r="AM813" s="1"/>
      <c r="AN813" s="1"/>
    </row>
    <row r="814" spans="16:40" ht="15.75" customHeight="1" x14ac:dyDescent="0.25">
      <c r="P814" s="1"/>
      <c r="Q814" s="1"/>
      <c r="R814" s="1"/>
      <c r="S814" s="1"/>
      <c r="T814" s="1"/>
      <c r="U814" s="1"/>
      <c r="V814" s="1"/>
      <c r="W814" s="1"/>
      <c r="X814" s="1"/>
      <c r="Y814" s="1"/>
      <c r="AH814" s="1"/>
      <c r="AI814" s="1"/>
      <c r="AJ814" s="1"/>
      <c r="AK814" s="1"/>
      <c r="AL814" s="1"/>
      <c r="AM814" s="1"/>
      <c r="AN814" s="1"/>
    </row>
    <row r="815" spans="16:40" ht="15.75" customHeight="1" x14ac:dyDescent="0.25">
      <c r="P815" s="1"/>
      <c r="Q815" s="1"/>
      <c r="R815" s="1"/>
      <c r="S815" s="1"/>
      <c r="T815" s="1"/>
      <c r="U815" s="1"/>
      <c r="V815" s="1"/>
      <c r="W815" s="1"/>
      <c r="X815" s="1"/>
      <c r="Y815" s="1"/>
      <c r="AH815" s="1"/>
      <c r="AI815" s="1"/>
      <c r="AJ815" s="1"/>
      <c r="AK815" s="1"/>
      <c r="AL815" s="1"/>
      <c r="AM815" s="1"/>
      <c r="AN815" s="1"/>
    </row>
    <row r="816" spans="16:40" ht="15.75" customHeight="1" x14ac:dyDescent="0.25">
      <c r="P816" s="1"/>
      <c r="Q816" s="1"/>
      <c r="R816" s="1"/>
      <c r="S816" s="1"/>
      <c r="T816" s="1"/>
      <c r="U816" s="1"/>
      <c r="V816" s="1"/>
      <c r="W816" s="1"/>
      <c r="X816" s="1"/>
      <c r="Y816" s="1"/>
      <c r="AH816" s="1"/>
      <c r="AI816" s="1"/>
      <c r="AJ816" s="1"/>
      <c r="AK816" s="1"/>
      <c r="AL816" s="1"/>
      <c r="AM816" s="1"/>
      <c r="AN816" s="1"/>
    </row>
    <row r="817" spans="16:40" ht="15.75" customHeight="1" x14ac:dyDescent="0.25">
      <c r="P817" s="1"/>
      <c r="Q817" s="1"/>
      <c r="R817" s="1"/>
      <c r="S817" s="1"/>
      <c r="T817" s="1"/>
      <c r="U817" s="1"/>
      <c r="V817" s="1"/>
      <c r="W817" s="1"/>
      <c r="X817" s="1"/>
      <c r="Y817" s="1"/>
      <c r="AH817" s="1"/>
      <c r="AI817" s="1"/>
      <c r="AJ817" s="1"/>
      <c r="AK817" s="1"/>
      <c r="AL817" s="1"/>
      <c r="AM817" s="1"/>
      <c r="AN817" s="1"/>
    </row>
    <row r="818" spans="16:40" ht="15.75" customHeight="1" x14ac:dyDescent="0.25">
      <c r="P818" s="1"/>
      <c r="Q818" s="1"/>
      <c r="R818" s="1"/>
      <c r="S818" s="1"/>
      <c r="T818" s="1"/>
      <c r="U818" s="1"/>
      <c r="V818" s="1"/>
      <c r="W818" s="1"/>
      <c r="X818" s="1"/>
      <c r="Y818" s="1"/>
      <c r="AH818" s="1"/>
      <c r="AI818" s="1"/>
      <c r="AJ818" s="1"/>
      <c r="AK818" s="1"/>
      <c r="AL818" s="1"/>
      <c r="AM818" s="1"/>
      <c r="AN818" s="1"/>
    </row>
    <row r="819" spans="16:40" ht="15.75" customHeight="1" x14ac:dyDescent="0.25">
      <c r="P819" s="1"/>
      <c r="Q819" s="1"/>
      <c r="R819" s="1"/>
      <c r="S819" s="1"/>
      <c r="T819" s="1"/>
      <c r="U819" s="1"/>
      <c r="V819" s="1"/>
      <c r="W819" s="1"/>
      <c r="X819" s="1"/>
      <c r="Y819" s="1"/>
      <c r="AH819" s="1"/>
      <c r="AI819" s="1"/>
      <c r="AJ819" s="1"/>
      <c r="AK819" s="1"/>
      <c r="AL819" s="1"/>
      <c r="AM819" s="1"/>
      <c r="AN819" s="1"/>
    </row>
    <row r="820" spans="16:40" ht="15.75" customHeight="1" x14ac:dyDescent="0.25">
      <c r="P820" s="1"/>
      <c r="Q820" s="1"/>
      <c r="R820" s="1"/>
      <c r="S820" s="1"/>
      <c r="T820" s="1"/>
      <c r="U820" s="1"/>
      <c r="V820" s="1"/>
      <c r="W820" s="1"/>
      <c r="X820" s="1"/>
      <c r="Y820" s="1"/>
      <c r="AH820" s="1"/>
      <c r="AI820" s="1"/>
      <c r="AJ820" s="1"/>
      <c r="AK820" s="1"/>
      <c r="AL820" s="1"/>
      <c r="AM820" s="1"/>
      <c r="AN820" s="1"/>
    </row>
    <row r="821" spans="16:40" ht="15.75" customHeight="1" x14ac:dyDescent="0.25">
      <c r="P821" s="1"/>
      <c r="Q821" s="1"/>
      <c r="R821" s="1"/>
      <c r="S821" s="1"/>
      <c r="T821" s="1"/>
      <c r="U821" s="1"/>
      <c r="V821" s="1"/>
      <c r="W821" s="1"/>
      <c r="X821" s="1"/>
      <c r="Y821" s="1"/>
      <c r="AH821" s="1"/>
      <c r="AI821" s="1"/>
      <c r="AJ821" s="1"/>
      <c r="AK821" s="1"/>
      <c r="AL821" s="1"/>
      <c r="AM821" s="1"/>
      <c r="AN821" s="1"/>
    </row>
    <row r="822" spans="16:40" ht="15.75" customHeight="1" x14ac:dyDescent="0.25">
      <c r="P822" s="1"/>
      <c r="Q822" s="1"/>
      <c r="R822" s="1"/>
      <c r="S822" s="1"/>
      <c r="T822" s="1"/>
      <c r="U822" s="1"/>
      <c r="V822" s="1"/>
      <c r="W822" s="1"/>
      <c r="X822" s="1"/>
      <c r="Y822" s="1"/>
      <c r="AH822" s="1"/>
      <c r="AI822" s="1"/>
      <c r="AJ822" s="1"/>
      <c r="AK822" s="1"/>
      <c r="AL822" s="1"/>
      <c r="AM822" s="1"/>
      <c r="AN822" s="1"/>
    </row>
    <row r="823" spans="16:40" ht="15.75" customHeight="1" x14ac:dyDescent="0.25">
      <c r="P823" s="1"/>
      <c r="Q823" s="1"/>
      <c r="R823" s="1"/>
      <c r="S823" s="1"/>
      <c r="T823" s="1"/>
      <c r="U823" s="1"/>
      <c r="V823" s="1"/>
      <c r="W823" s="1"/>
      <c r="X823" s="1"/>
      <c r="Y823" s="1"/>
      <c r="AH823" s="1"/>
      <c r="AI823" s="1"/>
      <c r="AJ823" s="1"/>
      <c r="AK823" s="1"/>
      <c r="AL823" s="1"/>
      <c r="AM823" s="1"/>
      <c r="AN823" s="1"/>
    </row>
    <row r="824" spans="16:40" ht="15.75" customHeight="1" x14ac:dyDescent="0.25">
      <c r="P824" s="1"/>
      <c r="Q824" s="1"/>
      <c r="R824" s="1"/>
      <c r="S824" s="1"/>
      <c r="T824" s="1"/>
      <c r="U824" s="1"/>
      <c r="V824" s="1"/>
      <c r="W824" s="1"/>
      <c r="X824" s="1"/>
      <c r="Y824" s="1"/>
      <c r="AH824" s="1"/>
      <c r="AI824" s="1"/>
      <c r="AJ824" s="1"/>
      <c r="AK824" s="1"/>
      <c r="AL824" s="1"/>
      <c r="AM824" s="1"/>
      <c r="AN824" s="1"/>
    </row>
    <row r="825" spans="16:40" ht="15.75" customHeight="1" x14ac:dyDescent="0.25">
      <c r="P825" s="1"/>
      <c r="Q825" s="1"/>
      <c r="R825" s="1"/>
      <c r="S825" s="1"/>
      <c r="T825" s="1"/>
      <c r="U825" s="1"/>
      <c r="V825" s="1"/>
      <c r="W825" s="1"/>
      <c r="X825" s="1"/>
      <c r="Y825" s="1"/>
      <c r="AH825" s="1"/>
      <c r="AI825" s="1"/>
      <c r="AJ825" s="1"/>
      <c r="AK825" s="1"/>
      <c r="AL825" s="1"/>
      <c r="AM825" s="1"/>
      <c r="AN825" s="1"/>
    </row>
    <row r="826" spans="16:40" ht="15.75" customHeight="1" x14ac:dyDescent="0.25">
      <c r="P826" s="1"/>
      <c r="Q826" s="1"/>
      <c r="R826" s="1"/>
      <c r="S826" s="1"/>
      <c r="T826" s="1"/>
      <c r="U826" s="1"/>
      <c r="V826" s="1"/>
      <c r="W826" s="1"/>
      <c r="X826" s="1"/>
      <c r="Y826" s="1"/>
      <c r="AH826" s="1"/>
      <c r="AI826" s="1"/>
      <c r="AJ826" s="1"/>
      <c r="AK826" s="1"/>
      <c r="AL826" s="1"/>
      <c r="AM826" s="1"/>
      <c r="AN826" s="1"/>
    </row>
    <row r="827" spans="16:40" ht="15.75" customHeight="1" x14ac:dyDescent="0.25">
      <c r="P827" s="1"/>
      <c r="Q827" s="1"/>
      <c r="R827" s="1"/>
      <c r="S827" s="1"/>
      <c r="T827" s="1"/>
      <c r="U827" s="1"/>
      <c r="V827" s="1"/>
      <c r="W827" s="1"/>
      <c r="X827" s="1"/>
      <c r="Y827" s="1"/>
      <c r="AH827" s="1"/>
      <c r="AI827" s="1"/>
      <c r="AJ827" s="1"/>
      <c r="AK827" s="1"/>
      <c r="AL827" s="1"/>
      <c r="AM827" s="1"/>
      <c r="AN827" s="1"/>
    </row>
    <row r="828" spans="16:40" ht="15.75" customHeight="1" x14ac:dyDescent="0.25">
      <c r="P828" s="1"/>
      <c r="Q828" s="1"/>
      <c r="R828" s="1"/>
      <c r="S828" s="1"/>
      <c r="T828" s="1"/>
      <c r="U828" s="1"/>
      <c r="V828" s="1"/>
      <c r="W828" s="1"/>
      <c r="X828" s="1"/>
      <c r="Y828" s="1"/>
      <c r="AH828" s="1"/>
      <c r="AI828" s="1"/>
      <c r="AJ828" s="1"/>
      <c r="AK828" s="1"/>
      <c r="AL828" s="1"/>
      <c r="AM828" s="1"/>
      <c r="AN828" s="1"/>
    </row>
    <row r="829" spans="16:40" ht="15.75" customHeight="1" x14ac:dyDescent="0.25">
      <c r="P829" s="1"/>
      <c r="Q829" s="1"/>
      <c r="R829" s="1"/>
      <c r="S829" s="1"/>
      <c r="T829" s="1"/>
      <c r="U829" s="1"/>
      <c r="V829" s="1"/>
      <c r="W829" s="1"/>
      <c r="X829" s="1"/>
      <c r="Y829" s="1"/>
      <c r="AH829" s="1"/>
      <c r="AI829" s="1"/>
      <c r="AJ829" s="1"/>
      <c r="AK829" s="1"/>
      <c r="AL829" s="1"/>
      <c r="AM829" s="1"/>
      <c r="AN829" s="1"/>
    </row>
    <row r="830" spans="16:40" ht="15.75" customHeight="1" x14ac:dyDescent="0.25">
      <c r="P830" s="1"/>
      <c r="Q830" s="1"/>
      <c r="R830" s="1"/>
      <c r="S830" s="1"/>
      <c r="T830" s="1"/>
      <c r="U830" s="1"/>
      <c r="V830" s="1"/>
      <c r="W830" s="1"/>
      <c r="X830" s="1"/>
      <c r="Y830" s="1"/>
      <c r="AH830" s="1"/>
      <c r="AI830" s="1"/>
      <c r="AJ830" s="1"/>
      <c r="AK830" s="1"/>
      <c r="AL830" s="1"/>
      <c r="AM830" s="1"/>
      <c r="AN830" s="1"/>
    </row>
    <row r="831" spans="16:40" ht="15.75" customHeight="1" x14ac:dyDescent="0.25">
      <c r="P831" s="1"/>
      <c r="Q831" s="1"/>
      <c r="R831" s="1"/>
      <c r="S831" s="1"/>
      <c r="T831" s="1"/>
      <c r="U831" s="1"/>
      <c r="V831" s="1"/>
      <c r="W831" s="1"/>
      <c r="X831" s="1"/>
      <c r="Y831" s="1"/>
      <c r="AH831" s="1"/>
      <c r="AI831" s="1"/>
      <c r="AJ831" s="1"/>
      <c r="AK831" s="1"/>
      <c r="AL831" s="1"/>
      <c r="AM831" s="1"/>
      <c r="AN831" s="1"/>
    </row>
    <row r="832" spans="16:40" ht="15.75" customHeight="1" x14ac:dyDescent="0.25">
      <c r="P832" s="1"/>
      <c r="Q832" s="1"/>
      <c r="R832" s="1"/>
      <c r="S832" s="1"/>
      <c r="T832" s="1"/>
      <c r="U832" s="1"/>
      <c r="V832" s="1"/>
      <c r="W832" s="1"/>
      <c r="X832" s="1"/>
      <c r="Y832" s="1"/>
      <c r="AH832" s="1"/>
      <c r="AI832" s="1"/>
      <c r="AJ832" s="1"/>
      <c r="AK832" s="1"/>
      <c r="AL832" s="1"/>
      <c r="AM832" s="1"/>
      <c r="AN832" s="1"/>
    </row>
    <row r="833" spans="16:40" ht="15.75" customHeight="1" x14ac:dyDescent="0.25">
      <c r="P833" s="1"/>
      <c r="Q833" s="1"/>
      <c r="R833" s="1"/>
      <c r="S833" s="1"/>
      <c r="T833" s="1"/>
      <c r="U833" s="1"/>
      <c r="V833" s="1"/>
      <c r="W833" s="1"/>
      <c r="X833" s="1"/>
      <c r="Y833" s="1"/>
      <c r="AH833" s="1"/>
      <c r="AI833" s="1"/>
      <c r="AJ833" s="1"/>
      <c r="AK833" s="1"/>
      <c r="AL833" s="1"/>
      <c r="AM833" s="1"/>
      <c r="AN833" s="1"/>
    </row>
    <row r="834" spans="16:40" ht="15.75" customHeight="1" x14ac:dyDescent="0.25">
      <c r="P834" s="1"/>
      <c r="Q834" s="1"/>
      <c r="R834" s="1"/>
      <c r="S834" s="1"/>
      <c r="T834" s="1"/>
      <c r="U834" s="1"/>
      <c r="V834" s="1"/>
      <c r="W834" s="1"/>
      <c r="X834" s="1"/>
      <c r="Y834" s="1"/>
      <c r="AH834" s="1"/>
      <c r="AI834" s="1"/>
      <c r="AJ834" s="1"/>
      <c r="AK834" s="1"/>
      <c r="AL834" s="1"/>
      <c r="AM834" s="1"/>
      <c r="AN834" s="1"/>
    </row>
    <row r="835" spans="16:40" ht="15.75" customHeight="1" x14ac:dyDescent="0.25">
      <c r="P835" s="1"/>
      <c r="Q835" s="1"/>
      <c r="R835" s="1"/>
      <c r="S835" s="1"/>
      <c r="T835" s="1"/>
      <c r="U835" s="1"/>
      <c r="V835" s="1"/>
      <c r="W835" s="1"/>
      <c r="X835" s="1"/>
      <c r="Y835" s="1"/>
      <c r="AH835" s="1"/>
      <c r="AI835" s="1"/>
      <c r="AJ835" s="1"/>
      <c r="AK835" s="1"/>
      <c r="AL835" s="1"/>
      <c r="AM835" s="1"/>
      <c r="AN835" s="1"/>
    </row>
    <row r="836" spans="16:40" ht="15.75" customHeight="1" x14ac:dyDescent="0.25">
      <c r="P836" s="1"/>
      <c r="Q836" s="1"/>
      <c r="R836" s="1"/>
      <c r="S836" s="1"/>
      <c r="T836" s="1"/>
      <c r="U836" s="1"/>
      <c r="V836" s="1"/>
      <c r="W836" s="1"/>
      <c r="X836" s="1"/>
      <c r="Y836" s="1"/>
      <c r="AH836" s="1"/>
      <c r="AI836" s="1"/>
      <c r="AJ836" s="1"/>
      <c r="AK836" s="1"/>
      <c r="AL836" s="1"/>
      <c r="AM836" s="1"/>
      <c r="AN836" s="1"/>
    </row>
    <row r="837" spans="16:40" ht="15.75" customHeight="1" x14ac:dyDescent="0.25">
      <c r="P837" s="1"/>
      <c r="Q837" s="1"/>
      <c r="R837" s="1"/>
      <c r="S837" s="1"/>
      <c r="T837" s="1"/>
      <c r="U837" s="1"/>
      <c r="V837" s="1"/>
      <c r="W837" s="1"/>
      <c r="X837" s="1"/>
      <c r="Y837" s="1"/>
      <c r="AH837" s="1"/>
      <c r="AI837" s="1"/>
      <c r="AJ837" s="1"/>
      <c r="AK837" s="1"/>
      <c r="AL837" s="1"/>
      <c r="AM837" s="1"/>
      <c r="AN837" s="1"/>
    </row>
    <row r="838" spans="16:40" ht="15.75" customHeight="1" x14ac:dyDescent="0.25">
      <c r="P838" s="1"/>
      <c r="Q838" s="1"/>
      <c r="R838" s="1"/>
      <c r="S838" s="1"/>
      <c r="T838" s="1"/>
      <c r="U838" s="1"/>
      <c r="V838" s="1"/>
      <c r="W838" s="1"/>
      <c r="X838" s="1"/>
      <c r="Y838" s="1"/>
      <c r="AH838" s="1"/>
      <c r="AI838" s="1"/>
      <c r="AJ838" s="1"/>
      <c r="AK838" s="1"/>
      <c r="AL838" s="1"/>
      <c r="AM838" s="1"/>
      <c r="AN838" s="1"/>
    </row>
    <row r="839" spans="16:40" ht="15.75" customHeight="1" x14ac:dyDescent="0.25">
      <c r="P839" s="1"/>
      <c r="Q839" s="1"/>
      <c r="R839" s="1"/>
      <c r="S839" s="1"/>
      <c r="T839" s="1"/>
      <c r="U839" s="1"/>
      <c r="V839" s="1"/>
      <c r="W839" s="1"/>
      <c r="X839" s="1"/>
      <c r="Y839" s="1"/>
      <c r="AH839" s="1"/>
      <c r="AI839" s="1"/>
      <c r="AJ839" s="1"/>
      <c r="AK839" s="1"/>
      <c r="AL839" s="1"/>
      <c r="AM839" s="1"/>
      <c r="AN839" s="1"/>
    </row>
    <row r="840" spans="16:40" ht="15.75" customHeight="1" x14ac:dyDescent="0.25">
      <c r="P840" s="1"/>
      <c r="Q840" s="1"/>
      <c r="R840" s="1"/>
      <c r="S840" s="1"/>
      <c r="T840" s="1"/>
      <c r="U840" s="1"/>
      <c r="V840" s="1"/>
      <c r="W840" s="1"/>
      <c r="X840" s="1"/>
      <c r="Y840" s="1"/>
      <c r="AH840" s="1"/>
      <c r="AI840" s="1"/>
      <c r="AJ840" s="1"/>
      <c r="AK840" s="1"/>
      <c r="AL840" s="1"/>
      <c r="AM840" s="1"/>
      <c r="AN840" s="1"/>
    </row>
    <row r="841" spans="16:40" ht="15.75" customHeight="1" x14ac:dyDescent="0.25">
      <c r="P841" s="1"/>
      <c r="Q841" s="1"/>
      <c r="R841" s="1"/>
      <c r="S841" s="1"/>
      <c r="T841" s="1"/>
      <c r="U841" s="1"/>
      <c r="V841" s="1"/>
      <c r="W841" s="1"/>
      <c r="X841" s="1"/>
      <c r="Y841" s="1"/>
      <c r="AH841" s="1"/>
      <c r="AI841" s="1"/>
      <c r="AJ841" s="1"/>
      <c r="AK841" s="1"/>
      <c r="AL841" s="1"/>
      <c r="AM841" s="1"/>
      <c r="AN841" s="1"/>
    </row>
    <row r="842" spans="16:40" ht="15.75" customHeight="1" x14ac:dyDescent="0.25">
      <c r="P842" s="1"/>
      <c r="Q842" s="1"/>
      <c r="R842" s="1"/>
      <c r="S842" s="1"/>
      <c r="T842" s="1"/>
      <c r="U842" s="1"/>
      <c r="V842" s="1"/>
      <c r="W842" s="1"/>
      <c r="X842" s="1"/>
      <c r="Y842" s="1"/>
      <c r="AH842" s="1"/>
      <c r="AI842" s="1"/>
      <c r="AJ842" s="1"/>
      <c r="AK842" s="1"/>
      <c r="AL842" s="1"/>
      <c r="AM842" s="1"/>
      <c r="AN842" s="1"/>
    </row>
    <row r="843" spans="16:40" ht="15.75" customHeight="1" x14ac:dyDescent="0.25">
      <c r="P843" s="1"/>
      <c r="Q843" s="1"/>
      <c r="R843" s="1"/>
      <c r="S843" s="1"/>
      <c r="T843" s="1"/>
      <c r="U843" s="1"/>
      <c r="V843" s="1"/>
      <c r="W843" s="1"/>
      <c r="X843" s="1"/>
      <c r="Y843" s="1"/>
      <c r="AH843" s="1"/>
      <c r="AI843" s="1"/>
      <c r="AJ843" s="1"/>
      <c r="AK843" s="1"/>
      <c r="AL843" s="1"/>
      <c r="AM843" s="1"/>
      <c r="AN843" s="1"/>
    </row>
    <row r="844" spans="16:40" ht="15.75" customHeight="1" x14ac:dyDescent="0.25">
      <c r="P844" s="1"/>
      <c r="Q844" s="1"/>
      <c r="R844" s="1"/>
      <c r="S844" s="1"/>
      <c r="T844" s="1"/>
      <c r="U844" s="1"/>
      <c r="V844" s="1"/>
      <c r="W844" s="1"/>
      <c r="X844" s="1"/>
      <c r="Y844" s="1"/>
      <c r="AH844" s="1"/>
      <c r="AI844" s="1"/>
      <c r="AJ844" s="1"/>
      <c r="AK844" s="1"/>
      <c r="AL844" s="1"/>
      <c r="AM844" s="1"/>
      <c r="AN844" s="1"/>
    </row>
    <row r="845" spans="16:40" ht="15.75" customHeight="1" x14ac:dyDescent="0.25">
      <c r="P845" s="1"/>
      <c r="Q845" s="1"/>
      <c r="R845" s="1"/>
      <c r="S845" s="1"/>
      <c r="T845" s="1"/>
      <c r="U845" s="1"/>
      <c r="V845" s="1"/>
      <c r="W845" s="1"/>
      <c r="X845" s="1"/>
      <c r="Y845" s="1"/>
      <c r="AH845" s="1"/>
      <c r="AI845" s="1"/>
      <c r="AJ845" s="1"/>
      <c r="AK845" s="1"/>
      <c r="AL845" s="1"/>
      <c r="AM845" s="1"/>
      <c r="AN845" s="1"/>
    </row>
    <row r="846" spans="16:40" ht="15.75" customHeight="1" x14ac:dyDescent="0.25">
      <c r="P846" s="1"/>
      <c r="Q846" s="1"/>
      <c r="R846" s="1"/>
      <c r="S846" s="1"/>
      <c r="T846" s="1"/>
      <c r="U846" s="1"/>
      <c r="V846" s="1"/>
      <c r="W846" s="1"/>
      <c r="X846" s="1"/>
      <c r="Y846" s="1"/>
      <c r="AH846" s="1"/>
      <c r="AI846" s="1"/>
      <c r="AJ846" s="1"/>
      <c r="AK846" s="1"/>
      <c r="AL846" s="1"/>
      <c r="AM846" s="1"/>
      <c r="AN846" s="1"/>
    </row>
    <row r="847" spans="16:40" ht="15.75" customHeight="1" x14ac:dyDescent="0.25">
      <c r="P847" s="1"/>
      <c r="Q847" s="1"/>
      <c r="R847" s="1"/>
      <c r="S847" s="1"/>
      <c r="T847" s="1"/>
      <c r="U847" s="1"/>
      <c r="V847" s="1"/>
      <c r="W847" s="1"/>
      <c r="X847" s="1"/>
      <c r="Y847" s="1"/>
      <c r="AH847" s="1"/>
      <c r="AI847" s="1"/>
      <c r="AJ847" s="1"/>
      <c r="AK847" s="1"/>
      <c r="AL847" s="1"/>
      <c r="AM847" s="1"/>
      <c r="AN847" s="1"/>
    </row>
    <row r="848" spans="16:40" ht="15.75" customHeight="1" x14ac:dyDescent="0.25">
      <c r="P848" s="1"/>
      <c r="Q848" s="1"/>
      <c r="R848" s="1"/>
      <c r="S848" s="1"/>
      <c r="T848" s="1"/>
      <c r="U848" s="1"/>
      <c r="V848" s="1"/>
      <c r="W848" s="1"/>
      <c r="X848" s="1"/>
      <c r="Y848" s="1"/>
      <c r="AH848" s="1"/>
      <c r="AI848" s="1"/>
      <c r="AJ848" s="1"/>
      <c r="AK848" s="1"/>
      <c r="AL848" s="1"/>
      <c r="AM848" s="1"/>
      <c r="AN848" s="1"/>
    </row>
    <row r="849" spans="16:40" ht="15.75" customHeight="1" x14ac:dyDescent="0.25">
      <c r="P849" s="1"/>
      <c r="Q849" s="1"/>
      <c r="R849" s="1"/>
      <c r="S849" s="1"/>
      <c r="T849" s="1"/>
      <c r="U849" s="1"/>
      <c r="V849" s="1"/>
      <c r="W849" s="1"/>
      <c r="X849" s="1"/>
      <c r="Y849" s="1"/>
      <c r="AH849" s="1"/>
      <c r="AI849" s="1"/>
      <c r="AJ849" s="1"/>
      <c r="AK849" s="1"/>
      <c r="AL849" s="1"/>
      <c r="AM849" s="1"/>
      <c r="AN849" s="1"/>
    </row>
    <row r="850" spans="16:40" ht="15.75" customHeight="1" x14ac:dyDescent="0.25">
      <c r="P850" s="1"/>
      <c r="Q850" s="1"/>
      <c r="R850" s="1"/>
      <c r="S850" s="1"/>
      <c r="T850" s="1"/>
      <c r="U850" s="1"/>
      <c r="V850" s="1"/>
      <c r="W850" s="1"/>
      <c r="X850" s="1"/>
      <c r="Y850" s="1"/>
      <c r="AH850" s="1"/>
      <c r="AI850" s="1"/>
      <c r="AJ850" s="1"/>
      <c r="AK850" s="1"/>
      <c r="AL850" s="1"/>
      <c r="AM850" s="1"/>
      <c r="AN850" s="1"/>
    </row>
    <row r="851" spans="16:40" ht="15.75" customHeight="1" x14ac:dyDescent="0.25">
      <c r="P851" s="1"/>
      <c r="Q851" s="1"/>
      <c r="R851" s="1"/>
      <c r="S851" s="1"/>
      <c r="T851" s="1"/>
      <c r="U851" s="1"/>
      <c r="V851" s="1"/>
      <c r="W851" s="1"/>
      <c r="X851" s="1"/>
      <c r="Y851" s="1"/>
      <c r="AH851" s="1"/>
      <c r="AI851" s="1"/>
      <c r="AJ851" s="1"/>
      <c r="AK851" s="1"/>
      <c r="AL851" s="1"/>
      <c r="AM851" s="1"/>
      <c r="AN851" s="1"/>
    </row>
    <row r="852" spans="16:40" ht="15.75" customHeight="1" x14ac:dyDescent="0.25">
      <c r="P852" s="1"/>
      <c r="Q852" s="1"/>
      <c r="R852" s="1"/>
      <c r="S852" s="1"/>
      <c r="T852" s="1"/>
      <c r="U852" s="1"/>
      <c r="V852" s="1"/>
      <c r="W852" s="1"/>
      <c r="X852" s="1"/>
      <c r="Y852" s="1"/>
      <c r="AH852" s="1"/>
      <c r="AI852" s="1"/>
      <c r="AJ852" s="1"/>
      <c r="AK852" s="1"/>
      <c r="AL852" s="1"/>
      <c r="AM852" s="1"/>
      <c r="AN852" s="1"/>
    </row>
    <row r="853" spans="16:40" ht="15.75" customHeight="1" x14ac:dyDescent="0.25">
      <c r="P853" s="1"/>
      <c r="Q853" s="1"/>
      <c r="R853" s="1"/>
      <c r="S853" s="1"/>
      <c r="T853" s="1"/>
      <c r="U853" s="1"/>
      <c r="V853" s="1"/>
      <c r="W853" s="1"/>
      <c r="X853" s="1"/>
      <c r="Y853" s="1"/>
      <c r="AH853" s="1"/>
      <c r="AI853" s="1"/>
      <c r="AJ853" s="1"/>
      <c r="AK853" s="1"/>
      <c r="AL853" s="1"/>
      <c r="AM853" s="1"/>
      <c r="AN853" s="1"/>
    </row>
    <row r="854" spans="16:40" ht="15.75" customHeight="1" x14ac:dyDescent="0.25">
      <c r="P854" s="1"/>
      <c r="Q854" s="1"/>
      <c r="R854" s="1"/>
      <c r="S854" s="1"/>
      <c r="T854" s="1"/>
      <c r="U854" s="1"/>
      <c r="V854" s="1"/>
      <c r="W854" s="1"/>
      <c r="X854" s="1"/>
      <c r="Y854" s="1"/>
      <c r="AH854" s="1"/>
      <c r="AI854" s="1"/>
      <c r="AJ854" s="1"/>
      <c r="AK854" s="1"/>
      <c r="AL854" s="1"/>
      <c r="AM854" s="1"/>
      <c r="AN854" s="1"/>
    </row>
    <row r="855" spans="16:40" ht="15.75" customHeight="1" x14ac:dyDescent="0.25">
      <c r="P855" s="1"/>
      <c r="Q855" s="1"/>
      <c r="R855" s="1"/>
      <c r="S855" s="1"/>
      <c r="T855" s="1"/>
      <c r="U855" s="1"/>
      <c r="V855" s="1"/>
      <c r="W855" s="1"/>
      <c r="X855" s="1"/>
      <c r="Y855" s="1"/>
      <c r="AH855" s="1"/>
      <c r="AI855" s="1"/>
      <c r="AJ855" s="1"/>
      <c r="AK855" s="1"/>
      <c r="AL855" s="1"/>
      <c r="AM855" s="1"/>
      <c r="AN855" s="1"/>
    </row>
    <row r="856" spans="16:40" ht="15.75" customHeight="1" x14ac:dyDescent="0.25">
      <c r="P856" s="1"/>
      <c r="Q856" s="1"/>
      <c r="R856" s="1"/>
      <c r="S856" s="1"/>
      <c r="T856" s="1"/>
      <c r="U856" s="1"/>
      <c r="V856" s="1"/>
      <c r="W856" s="1"/>
      <c r="X856" s="1"/>
      <c r="Y856" s="1"/>
      <c r="AH856" s="1"/>
      <c r="AI856" s="1"/>
      <c r="AJ856" s="1"/>
      <c r="AK856" s="1"/>
      <c r="AL856" s="1"/>
      <c r="AM856" s="1"/>
      <c r="AN856" s="1"/>
    </row>
    <row r="857" spans="16:40" ht="15.75" customHeight="1" x14ac:dyDescent="0.25">
      <c r="P857" s="1"/>
      <c r="Q857" s="1"/>
      <c r="R857" s="1"/>
      <c r="S857" s="1"/>
      <c r="T857" s="1"/>
      <c r="U857" s="1"/>
      <c r="V857" s="1"/>
      <c r="W857" s="1"/>
      <c r="X857" s="1"/>
      <c r="Y857" s="1"/>
      <c r="AH857" s="1"/>
      <c r="AI857" s="1"/>
      <c r="AJ857" s="1"/>
      <c r="AK857" s="1"/>
      <c r="AL857" s="1"/>
      <c r="AM857" s="1"/>
      <c r="AN857" s="1"/>
    </row>
    <row r="858" spans="16:40" ht="15.75" customHeight="1" x14ac:dyDescent="0.25">
      <c r="P858" s="1"/>
      <c r="Q858" s="1"/>
      <c r="R858" s="1"/>
      <c r="S858" s="1"/>
      <c r="T858" s="1"/>
      <c r="U858" s="1"/>
      <c r="V858" s="1"/>
      <c r="W858" s="1"/>
      <c r="X858" s="1"/>
      <c r="Y858" s="1"/>
      <c r="AH858" s="1"/>
      <c r="AI858" s="1"/>
      <c r="AJ858" s="1"/>
      <c r="AK858" s="1"/>
      <c r="AL858" s="1"/>
      <c r="AM858" s="1"/>
      <c r="AN858" s="1"/>
    </row>
    <row r="859" spans="16:40" ht="15.75" customHeight="1" x14ac:dyDescent="0.25">
      <c r="P859" s="1"/>
      <c r="Q859" s="1"/>
      <c r="R859" s="1"/>
      <c r="S859" s="1"/>
      <c r="T859" s="1"/>
      <c r="U859" s="1"/>
      <c r="V859" s="1"/>
      <c r="W859" s="1"/>
      <c r="X859" s="1"/>
      <c r="Y859" s="1"/>
      <c r="AH859" s="1"/>
      <c r="AI859" s="1"/>
      <c r="AJ859" s="1"/>
      <c r="AK859" s="1"/>
      <c r="AL859" s="1"/>
      <c r="AM859" s="1"/>
      <c r="AN859" s="1"/>
    </row>
    <row r="860" spans="16:40" ht="15.75" customHeight="1" x14ac:dyDescent="0.25">
      <c r="P860" s="1"/>
      <c r="Q860" s="1"/>
      <c r="R860" s="1"/>
      <c r="S860" s="1"/>
      <c r="T860" s="1"/>
      <c r="U860" s="1"/>
      <c r="V860" s="1"/>
      <c r="W860" s="1"/>
      <c r="X860" s="1"/>
      <c r="Y860" s="1"/>
      <c r="AH860" s="1"/>
      <c r="AI860" s="1"/>
      <c r="AJ860" s="1"/>
      <c r="AK860" s="1"/>
      <c r="AL860" s="1"/>
      <c r="AM860" s="1"/>
      <c r="AN860" s="1"/>
    </row>
    <row r="861" spans="16:40" ht="15.75" customHeight="1" x14ac:dyDescent="0.25">
      <c r="P861" s="1"/>
      <c r="Q861" s="1"/>
      <c r="R861" s="1"/>
      <c r="S861" s="1"/>
      <c r="T861" s="1"/>
      <c r="U861" s="1"/>
      <c r="V861" s="1"/>
      <c r="W861" s="1"/>
      <c r="X861" s="1"/>
      <c r="Y861" s="1"/>
      <c r="AH861" s="1"/>
      <c r="AI861" s="1"/>
      <c r="AJ861" s="1"/>
      <c r="AK861" s="1"/>
      <c r="AL861" s="1"/>
      <c r="AM861" s="1"/>
      <c r="AN861" s="1"/>
    </row>
    <row r="862" spans="16:40" ht="15.75" customHeight="1" x14ac:dyDescent="0.25">
      <c r="P862" s="1"/>
      <c r="Q862" s="1"/>
      <c r="R862" s="1"/>
      <c r="S862" s="1"/>
      <c r="T862" s="1"/>
      <c r="U862" s="1"/>
      <c r="V862" s="1"/>
      <c r="W862" s="1"/>
      <c r="X862" s="1"/>
      <c r="Y862" s="1"/>
      <c r="AH862" s="1"/>
      <c r="AI862" s="1"/>
      <c r="AJ862" s="1"/>
      <c r="AK862" s="1"/>
      <c r="AL862" s="1"/>
      <c r="AM862" s="1"/>
      <c r="AN862" s="1"/>
    </row>
    <row r="863" spans="16:40" ht="15.75" customHeight="1" x14ac:dyDescent="0.25">
      <c r="P863" s="1"/>
      <c r="Q863" s="1"/>
      <c r="R863" s="1"/>
      <c r="S863" s="1"/>
      <c r="T863" s="1"/>
      <c r="U863" s="1"/>
      <c r="V863" s="1"/>
      <c r="W863" s="1"/>
      <c r="X863" s="1"/>
      <c r="Y863" s="1"/>
      <c r="AH863" s="1"/>
      <c r="AI863" s="1"/>
      <c r="AJ863" s="1"/>
      <c r="AK863" s="1"/>
      <c r="AL863" s="1"/>
      <c r="AM863" s="1"/>
      <c r="AN863" s="1"/>
    </row>
    <row r="864" spans="16:40" ht="15.75" customHeight="1" x14ac:dyDescent="0.25">
      <c r="P864" s="1"/>
      <c r="Q864" s="1"/>
      <c r="R864" s="1"/>
      <c r="S864" s="1"/>
      <c r="T864" s="1"/>
      <c r="U864" s="1"/>
      <c r="V864" s="1"/>
      <c r="W864" s="1"/>
      <c r="X864" s="1"/>
      <c r="Y864" s="1"/>
      <c r="AH864" s="1"/>
      <c r="AI864" s="1"/>
      <c r="AJ864" s="1"/>
      <c r="AK864" s="1"/>
      <c r="AL864" s="1"/>
      <c r="AM864" s="1"/>
      <c r="AN864" s="1"/>
    </row>
    <row r="865" spans="16:40" ht="15.75" customHeight="1" x14ac:dyDescent="0.25">
      <c r="P865" s="1"/>
      <c r="Q865" s="1"/>
      <c r="R865" s="1"/>
      <c r="S865" s="1"/>
      <c r="T865" s="1"/>
      <c r="U865" s="1"/>
      <c r="V865" s="1"/>
      <c r="W865" s="1"/>
      <c r="X865" s="1"/>
      <c r="Y865" s="1"/>
      <c r="AH865" s="1"/>
      <c r="AI865" s="1"/>
      <c r="AJ865" s="1"/>
      <c r="AK865" s="1"/>
      <c r="AL865" s="1"/>
      <c r="AM865" s="1"/>
      <c r="AN865" s="1"/>
    </row>
    <row r="866" spans="16:40" ht="15.75" customHeight="1" x14ac:dyDescent="0.25">
      <c r="P866" s="1"/>
      <c r="Q866" s="1"/>
      <c r="R866" s="1"/>
      <c r="S866" s="1"/>
      <c r="T866" s="1"/>
      <c r="U866" s="1"/>
      <c r="V866" s="1"/>
      <c r="W866" s="1"/>
      <c r="X866" s="1"/>
      <c r="Y866" s="1"/>
      <c r="AH866" s="1"/>
      <c r="AI866" s="1"/>
      <c r="AJ866" s="1"/>
      <c r="AK866" s="1"/>
      <c r="AL866" s="1"/>
      <c r="AM866" s="1"/>
      <c r="AN866" s="1"/>
    </row>
    <row r="867" spans="16:40" ht="15.75" customHeight="1" x14ac:dyDescent="0.25">
      <c r="P867" s="1"/>
      <c r="Q867" s="1"/>
      <c r="R867" s="1"/>
      <c r="S867" s="1"/>
      <c r="T867" s="1"/>
      <c r="U867" s="1"/>
      <c r="V867" s="1"/>
      <c r="W867" s="1"/>
      <c r="X867" s="1"/>
      <c r="Y867" s="1"/>
      <c r="AH867" s="1"/>
      <c r="AI867" s="1"/>
      <c r="AJ867" s="1"/>
      <c r="AK867" s="1"/>
      <c r="AL867" s="1"/>
      <c r="AM867" s="1"/>
      <c r="AN867" s="1"/>
    </row>
    <row r="868" spans="16:40" ht="15.75" customHeight="1" x14ac:dyDescent="0.25">
      <c r="P868" s="1"/>
      <c r="Q868" s="1"/>
      <c r="R868" s="1"/>
      <c r="S868" s="1"/>
      <c r="T868" s="1"/>
      <c r="U868" s="1"/>
      <c r="V868" s="1"/>
      <c r="W868" s="1"/>
      <c r="X868" s="1"/>
      <c r="Y868" s="1"/>
      <c r="AH868" s="1"/>
      <c r="AI868" s="1"/>
      <c r="AJ868" s="1"/>
      <c r="AK868" s="1"/>
      <c r="AL868" s="1"/>
      <c r="AM868" s="1"/>
      <c r="AN868" s="1"/>
    </row>
    <row r="869" spans="16:40" ht="15.75" customHeight="1" x14ac:dyDescent="0.25">
      <c r="P869" s="1"/>
      <c r="Q869" s="1"/>
      <c r="R869" s="1"/>
      <c r="S869" s="1"/>
      <c r="T869" s="1"/>
      <c r="U869" s="1"/>
      <c r="V869" s="1"/>
      <c r="W869" s="1"/>
      <c r="X869" s="1"/>
      <c r="Y869" s="1"/>
      <c r="AH869" s="1"/>
      <c r="AI869" s="1"/>
      <c r="AJ869" s="1"/>
      <c r="AK869" s="1"/>
      <c r="AL869" s="1"/>
      <c r="AM869" s="1"/>
      <c r="AN869" s="1"/>
    </row>
    <row r="870" spans="16:40" ht="15.75" customHeight="1" x14ac:dyDescent="0.25">
      <c r="P870" s="1"/>
      <c r="Q870" s="1"/>
      <c r="R870" s="1"/>
      <c r="S870" s="1"/>
      <c r="T870" s="1"/>
      <c r="U870" s="1"/>
      <c r="V870" s="1"/>
      <c r="W870" s="1"/>
      <c r="X870" s="1"/>
      <c r="Y870" s="1"/>
      <c r="AH870" s="1"/>
      <c r="AI870" s="1"/>
      <c r="AJ870" s="1"/>
      <c r="AK870" s="1"/>
      <c r="AL870" s="1"/>
      <c r="AM870" s="1"/>
      <c r="AN870" s="1"/>
    </row>
    <row r="871" spans="16:40" ht="15.75" customHeight="1" x14ac:dyDescent="0.25">
      <c r="P871" s="1"/>
      <c r="Q871" s="1"/>
      <c r="R871" s="1"/>
      <c r="S871" s="1"/>
      <c r="T871" s="1"/>
      <c r="U871" s="1"/>
      <c r="V871" s="1"/>
      <c r="W871" s="1"/>
      <c r="X871" s="1"/>
      <c r="Y871" s="1"/>
      <c r="AH871" s="1"/>
      <c r="AI871" s="1"/>
      <c r="AJ871" s="1"/>
      <c r="AK871" s="1"/>
      <c r="AL871" s="1"/>
      <c r="AM871" s="1"/>
      <c r="AN871" s="1"/>
    </row>
    <row r="872" spans="16:40" ht="15.75" customHeight="1" x14ac:dyDescent="0.25">
      <c r="P872" s="1"/>
      <c r="Q872" s="1"/>
      <c r="R872" s="1"/>
      <c r="S872" s="1"/>
      <c r="T872" s="1"/>
      <c r="U872" s="1"/>
      <c r="V872" s="1"/>
      <c r="W872" s="1"/>
      <c r="X872" s="1"/>
      <c r="Y872" s="1"/>
      <c r="AH872" s="1"/>
      <c r="AI872" s="1"/>
      <c r="AJ872" s="1"/>
      <c r="AK872" s="1"/>
      <c r="AL872" s="1"/>
      <c r="AM872" s="1"/>
      <c r="AN872" s="1"/>
    </row>
    <row r="873" spans="16:40" ht="15.75" customHeight="1" x14ac:dyDescent="0.25">
      <c r="P873" s="1"/>
      <c r="Q873" s="1"/>
      <c r="R873" s="1"/>
      <c r="S873" s="1"/>
      <c r="T873" s="1"/>
      <c r="U873" s="1"/>
      <c r="V873" s="1"/>
      <c r="W873" s="1"/>
      <c r="X873" s="1"/>
      <c r="Y873" s="1"/>
      <c r="AH873" s="1"/>
      <c r="AI873" s="1"/>
      <c r="AJ873" s="1"/>
      <c r="AK873" s="1"/>
      <c r="AL873" s="1"/>
      <c r="AM873" s="1"/>
      <c r="AN873" s="1"/>
    </row>
    <row r="874" spans="16:40" ht="15.75" customHeight="1" x14ac:dyDescent="0.25">
      <c r="P874" s="1"/>
      <c r="Q874" s="1"/>
      <c r="R874" s="1"/>
      <c r="S874" s="1"/>
      <c r="T874" s="1"/>
      <c r="U874" s="1"/>
      <c r="V874" s="1"/>
      <c r="W874" s="1"/>
      <c r="X874" s="1"/>
      <c r="Y874" s="1"/>
      <c r="AH874" s="1"/>
      <c r="AI874" s="1"/>
      <c r="AJ874" s="1"/>
      <c r="AK874" s="1"/>
      <c r="AL874" s="1"/>
      <c r="AM874" s="1"/>
      <c r="AN874" s="1"/>
    </row>
    <row r="875" spans="16:40" ht="15.75" customHeight="1" x14ac:dyDescent="0.25">
      <c r="P875" s="1"/>
      <c r="Q875" s="1"/>
      <c r="R875" s="1"/>
      <c r="S875" s="1"/>
      <c r="T875" s="1"/>
      <c r="U875" s="1"/>
      <c r="V875" s="1"/>
      <c r="W875" s="1"/>
      <c r="X875" s="1"/>
      <c r="Y875" s="1"/>
      <c r="AH875" s="1"/>
      <c r="AI875" s="1"/>
      <c r="AJ875" s="1"/>
      <c r="AK875" s="1"/>
      <c r="AL875" s="1"/>
      <c r="AM875" s="1"/>
      <c r="AN875" s="1"/>
    </row>
    <row r="876" spans="16:40" ht="15.75" customHeight="1" x14ac:dyDescent="0.25">
      <c r="P876" s="1"/>
      <c r="Q876" s="1"/>
      <c r="R876" s="1"/>
      <c r="S876" s="1"/>
      <c r="T876" s="1"/>
      <c r="U876" s="1"/>
      <c r="V876" s="1"/>
      <c r="W876" s="1"/>
      <c r="X876" s="1"/>
      <c r="Y876" s="1"/>
      <c r="AH876" s="1"/>
      <c r="AI876" s="1"/>
      <c r="AJ876" s="1"/>
      <c r="AK876" s="1"/>
      <c r="AL876" s="1"/>
      <c r="AM876" s="1"/>
      <c r="AN876" s="1"/>
    </row>
    <row r="877" spans="16:40" ht="15.75" customHeight="1" x14ac:dyDescent="0.25">
      <c r="P877" s="1"/>
      <c r="Q877" s="1"/>
      <c r="R877" s="1"/>
      <c r="S877" s="1"/>
      <c r="T877" s="1"/>
      <c r="U877" s="1"/>
      <c r="V877" s="1"/>
      <c r="W877" s="1"/>
      <c r="X877" s="1"/>
      <c r="Y877" s="1"/>
      <c r="AH877" s="1"/>
      <c r="AI877" s="1"/>
      <c r="AJ877" s="1"/>
      <c r="AK877" s="1"/>
      <c r="AL877" s="1"/>
      <c r="AM877" s="1"/>
      <c r="AN877" s="1"/>
    </row>
    <row r="878" spans="16:40" ht="15.75" customHeight="1" x14ac:dyDescent="0.25">
      <c r="P878" s="1"/>
      <c r="Q878" s="1"/>
      <c r="R878" s="1"/>
      <c r="S878" s="1"/>
      <c r="T878" s="1"/>
      <c r="U878" s="1"/>
      <c r="V878" s="1"/>
      <c r="W878" s="1"/>
      <c r="X878" s="1"/>
      <c r="Y878" s="1"/>
      <c r="AH878" s="1"/>
      <c r="AI878" s="1"/>
      <c r="AJ878" s="1"/>
      <c r="AK878" s="1"/>
      <c r="AL878" s="1"/>
      <c r="AM878" s="1"/>
      <c r="AN878" s="1"/>
    </row>
    <row r="879" spans="16:40" ht="15.75" customHeight="1" x14ac:dyDescent="0.25">
      <c r="P879" s="1"/>
      <c r="Q879" s="1"/>
      <c r="R879" s="1"/>
      <c r="S879" s="1"/>
      <c r="T879" s="1"/>
      <c r="U879" s="1"/>
      <c r="V879" s="1"/>
      <c r="W879" s="1"/>
      <c r="X879" s="1"/>
      <c r="Y879" s="1"/>
      <c r="AH879" s="1"/>
      <c r="AI879" s="1"/>
      <c r="AJ879" s="1"/>
      <c r="AK879" s="1"/>
      <c r="AL879" s="1"/>
      <c r="AM879" s="1"/>
      <c r="AN879" s="1"/>
    </row>
    <row r="880" spans="16:40" ht="15.75" customHeight="1" x14ac:dyDescent="0.25">
      <c r="P880" s="1"/>
      <c r="Q880" s="1"/>
      <c r="R880" s="1"/>
      <c r="S880" s="1"/>
      <c r="T880" s="1"/>
      <c r="U880" s="1"/>
      <c r="V880" s="1"/>
      <c r="W880" s="1"/>
      <c r="X880" s="1"/>
      <c r="Y880" s="1"/>
      <c r="AH880" s="1"/>
      <c r="AI880" s="1"/>
      <c r="AJ880" s="1"/>
      <c r="AK880" s="1"/>
      <c r="AL880" s="1"/>
      <c r="AM880" s="1"/>
      <c r="AN880" s="1"/>
    </row>
    <row r="881" spans="16:40" ht="15.75" customHeight="1" x14ac:dyDescent="0.25">
      <c r="P881" s="1"/>
      <c r="Q881" s="1"/>
      <c r="R881" s="1"/>
      <c r="S881" s="1"/>
      <c r="T881" s="1"/>
      <c r="U881" s="1"/>
      <c r="V881" s="1"/>
      <c r="W881" s="1"/>
      <c r="X881" s="1"/>
      <c r="Y881" s="1"/>
      <c r="AH881" s="1"/>
      <c r="AI881" s="1"/>
      <c r="AJ881" s="1"/>
      <c r="AK881" s="1"/>
      <c r="AL881" s="1"/>
      <c r="AM881" s="1"/>
      <c r="AN881" s="1"/>
    </row>
    <row r="882" spans="16:40" ht="15.75" customHeight="1" x14ac:dyDescent="0.25">
      <c r="P882" s="1"/>
      <c r="Q882" s="1"/>
      <c r="R882" s="1"/>
      <c r="S882" s="1"/>
      <c r="T882" s="1"/>
      <c r="U882" s="1"/>
      <c r="V882" s="1"/>
      <c r="W882" s="1"/>
      <c r="X882" s="1"/>
      <c r="Y882" s="1"/>
      <c r="AH882" s="1"/>
      <c r="AI882" s="1"/>
      <c r="AJ882" s="1"/>
      <c r="AK882" s="1"/>
      <c r="AL882" s="1"/>
      <c r="AM882" s="1"/>
      <c r="AN882" s="1"/>
    </row>
    <row r="883" spans="16:40" ht="15.75" customHeight="1" x14ac:dyDescent="0.25">
      <c r="P883" s="1"/>
      <c r="Q883" s="1"/>
      <c r="R883" s="1"/>
      <c r="S883" s="1"/>
      <c r="T883" s="1"/>
      <c r="U883" s="1"/>
      <c r="V883" s="1"/>
      <c r="W883" s="1"/>
      <c r="X883" s="1"/>
      <c r="Y883" s="1"/>
      <c r="AH883" s="1"/>
      <c r="AI883" s="1"/>
      <c r="AJ883" s="1"/>
      <c r="AK883" s="1"/>
      <c r="AL883" s="1"/>
      <c r="AM883" s="1"/>
      <c r="AN883" s="1"/>
    </row>
    <row r="884" spans="16:40" ht="15.75" customHeight="1" x14ac:dyDescent="0.25">
      <c r="P884" s="1"/>
      <c r="Q884" s="1"/>
      <c r="R884" s="1"/>
      <c r="S884" s="1"/>
      <c r="T884" s="1"/>
      <c r="U884" s="1"/>
      <c r="V884" s="1"/>
      <c r="W884" s="1"/>
      <c r="X884" s="1"/>
      <c r="Y884" s="1"/>
      <c r="AH884" s="1"/>
      <c r="AI884" s="1"/>
      <c r="AJ884" s="1"/>
      <c r="AK884" s="1"/>
      <c r="AL884" s="1"/>
      <c r="AM884" s="1"/>
      <c r="AN884" s="1"/>
    </row>
    <row r="885" spans="16:40" ht="15.75" customHeight="1" x14ac:dyDescent="0.25">
      <c r="P885" s="1"/>
      <c r="Q885" s="1"/>
      <c r="R885" s="1"/>
      <c r="S885" s="1"/>
      <c r="T885" s="1"/>
      <c r="U885" s="1"/>
      <c r="V885" s="1"/>
      <c r="W885" s="1"/>
      <c r="X885" s="1"/>
      <c r="Y885" s="1"/>
      <c r="AH885" s="1"/>
      <c r="AI885" s="1"/>
      <c r="AJ885" s="1"/>
      <c r="AK885" s="1"/>
      <c r="AL885" s="1"/>
      <c r="AM885" s="1"/>
      <c r="AN885" s="1"/>
    </row>
    <row r="886" spans="16:40" ht="15.75" customHeight="1" x14ac:dyDescent="0.25">
      <c r="P886" s="1"/>
      <c r="Q886" s="1"/>
      <c r="R886" s="1"/>
      <c r="S886" s="1"/>
      <c r="T886" s="1"/>
      <c r="U886" s="1"/>
      <c r="V886" s="1"/>
      <c r="W886" s="1"/>
      <c r="X886" s="1"/>
      <c r="Y886" s="1"/>
      <c r="AH886" s="1"/>
      <c r="AI886" s="1"/>
      <c r="AJ886" s="1"/>
      <c r="AK886" s="1"/>
      <c r="AL886" s="1"/>
      <c r="AM886" s="1"/>
      <c r="AN886" s="1"/>
    </row>
    <row r="887" spans="16:40" ht="15.75" customHeight="1" x14ac:dyDescent="0.25">
      <c r="P887" s="1"/>
      <c r="Q887" s="1"/>
      <c r="R887" s="1"/>
      <c r="S887" s="1"/>
      <c r="T887" s="1"/>
      <c r="U887" s="1"/>
      <c r="V887" s="1"/>
      <c r="W887" s="1"/>
      <c r="X887" s="1"/>
      <c r="Y887" s="1"/>
      <c r="AH887" s="1"/>
      <c r="AI887" s="1"/>
      <c r="AJ887" s="1"/>
      <c r="AK887" s="1"/>
      <c r="AL887" s="1"/>
      <c r="AM887" s="1"/>
      <c r="AN887" s="1"/>
    </row>
    <row r="888" spans="16:40" ht="15.75" customHeight="1" x14ac:dyDescent="0.25">
      <c r="P888" s="1"/>
      <c r="Q888" s="1"/>
      <c r="R888" s="1"/>
      <c r="S888" s="1"/>
      <c r="T888" s="1"/>
      <c r="U888" s="1"/>
      <c r="V888" s="1"/>
      <c r="W888" s="1"/>
      <c r="X888" s="1"/>
      <c r="Y888" s="1"/>
      <c r="AH888" s="1"/>
      <c r="AI888" s="1"/>
      <c r="AJ888" s="1"/>
      <c r="AK888" s="1"/>
      <c r="AL888" s="1"/>
      <c r="AM888" s="1"/>
      <c r="AN888" s="1"/>
    </row>
    <row r="889" spans="16:40" ht="15.75" customHeight="1" x14ac:dyDescent="0.25">
      <c r="P889" s="1"/>
      <c r="Q889" s="1"/>
      <c r="R889" s="1"/>
      <c r="S889" s="1"/>
      <c r="T889" s="1"/>
      <c r="U889" s="1"/>
      <c r="V889" s="1"/>
      <c r="W889" s="1"/>
      <c r="X889" s="1"/>
      <c r="Y889" s="1"/>
      <c r="AH889" s="1"/>
      <c r="AI889" s="1"/>
      <c r="AJ889" s="1"/>
      <c r="AK889" s="1"/>
      <c r="AL889" s="1"/>
      <c r="AM889" s="1"/>
      <c r="AN889" s="1"/>
    </row>
    <row r="890" spans="16:40" ht="15.75" customHeight="1" x14ac:dyDescent="0.25">
      <c r="P890" s="1"/>
      <c r="Q890" s="1"/>
      <c r="R890" s="1"/>
      <c r="S890" s="1"/>
      <c r="T890" s="1"/>
      <c r="U890" s="1"/>
      <c r="V890" s="1"/>
      <c r="W890" s="1"/>
      <c r="X890" s="1"/>
      <c r="Y890" s="1"/>
      <c r="AH890" s="1"/>
      <c r="AI890" s="1"/>
      <c r="AJ890" s="1"/>
      <c r="AK890" s="1"/>
      <c r="AL890" s="1"/>
      <c r="AM890" s="1"/>
      <c r="AN890" s="1"/>
    </row>
    <row r="891" spans="16:40" ht="15.75" customHeight="1" x14ac:dyDescent="0.25">
      <c r="P891" s="1"/>
      <c r="Q891" s="1"/>
      <c r="R891" s="1"/>
      <c r="S891" s="1"/>
      <c r="T891" s="1"/>
      <c r="U891" s="1"/>
      <c r="V891" s="1"/>
      <c r="W891" s="1"/>
      <c r="X891" s="1"/>
      <c r="Y891" s="1"/>
      <c r="AH891" s="1"/>
      <c r="AI891" s="1"/>
      <c r="AJ891" s="1"/>
      <c r="AK891" s="1"/>
      <c r="AL891" s="1"/>
      <c r="AM891" s="1"/>
      <c r="AN891" s="1"/>
    </row>
    <row r="892" spans="16:40" ht="15.75" customHeight="1" x14ac:dyDescent="0.25">
      <c r="P892" s="1"/>
      <c r="Q892" s="1"/>
      <c r="R892" s="1"/>
      <c r="S892" s="1"/>
      <c r="T892" s="1"/>
      <c r="U892" s="1"/>
      <c r="V892" s="1"/>
      <c r="W892" s="1"/>
      <c r="X892" s="1"/>
      <c r="Y892" s="1"/>
      <c r="AH892" s="1"/>
      <c r="AI892" s="1"/>
      <c r="AJ892" s="1"/>
      <c r="AK892" s="1"/>
      <c r="AL892" s="1"/>
      <c r="AM892" s="1"/>
      <c r="AN892" s="1"/>
    </row>
    <row r="893" spans="16:40" ht="15.75" customHeight="1" x14ac:dyDescent="0.25">
      <c r="P893" s="1"/>
      <c r="Q893" s="1"/>
      <c r="R893" s="1"/>
      <c r="S893" s="1"/>
      <c r="T893" s="1"/>
      <c r="U893" s="1"/>
      <c r="V893" s="1"/>
      <c r="W893" s="1"/>
      <c r="X893" s="1"/>
      <c r="Y893" s="1"/>
      <c r="AH893" s="1"/>
      <c r="AI893" s="1"/>
      <c r="AJ893" s="1"/>
      <c r="AK893" s="1"/>
      <c r="AL893" s="1"/>
      <c r="AM893" s="1"/>
      <c r="AN893" s="1"/>
    </row>
    <row r="894" spans="16:40" ht="15.75" customHeight="1" x14ac:dyDescent="0.25">
      <c r="P894" s="1"/>
      <c r="Q894" s="1"/>
      <c r="R894" s="1"/>
      <c r="S894" s="1"/>
      <c r="T894" s="1"/>
      <c r="U894" s="1"/>
      <c r="V894" s="1"/>
      <c r="W894" s="1"/>
      <c r="X894" s="1"/>
      <c r="Y894" s="1"/>
      <c r="AH894" s="1"/>
      <c r="AI894" s="1"/>
      <c r="AJ894" s="1"/>
      <c r="AK894" s="1"/>
      <c r="AL894" s="1"/>
      <c r="AM894" s="1"/>
      <c r="AN894" s="1"/>
    </row>
    <row r="895" spans="16:40" ht="15.75" customHeight="1" x14ac:dyDescent="0.25">
      <c r="P895" s="1"/>
      <c r="Q895" s="1"/>
      <c r="R895" s="1"/>
      <c r="S895" s="1"/>
      <c r="T895" s="1"/>
      <c r="U895" s="1"/>
      <c r="V895" s="1"/>
      <c r="W895" s="1"/>
      <c r="X895" s="1"/>
      <c r="Y895" s="1"/>
      <c r="AH895" s="1"/>
      <c r="AI895" s="1"/>
      <c r="AJ895" s="1"/>
      <c r="AK895" s="1"/>
      <c r="AL895" s="1"/>
      <c r="AM895" s="1"/>
      <c r="AN895" s="1"/>
    </row>
    <row r="896" spans="16:40" ht="15.75" customHeight="1" x14ac:dyDescent="0.25">
      <c r="P896" s="1"/>
      <c r="Q896" s="1"/>
      <c r="R896" s="1"/>
      <c r="S896" s="1"/>
      <c r="T896" s="1"/>
      <c r="U896" s="1"/>
      <c r="V896" s="1"/>
      <c r="W896" s="1"/>
      <c r="X896" s="1"/>
      <c r="Y896" s="1"/>
      <c r="AH896" s="1"/>
      <c r="AI896" s="1"/>
      <c r="AJ896" s="1"/>
      <c r="AK896" s="1"/>
      <c r="AL896" s="1"/>
      <c r="AM896" s="1"/>
      <c r="AN896" s="1"/>
    </row>
    <row r="897" spans="16:40" ht="15.75" customHeight="1" x14ac:dyDescent="0.25">
      <c r="P897" s="1"/>
      <c r="Q897" s="1"/>
      <c r="R897" s="1"/>
      <c r="S897" s="1"/>
      <c r="T897" s="1"/>
      <c r="U897" s="1"/>
      <c r="V897" s="1"/>
      <c r="W897" s="1"/>
      <c r="X897" s="1"/>
      <c r="Y897" s="1"/>
      <c r="AH897" s="1"/>
      <c r="AI897" s="1"/>
      <c r="AJ897" s="1"/>
      <c r="AK897" s="1"/>
      <c r="AL897" s="1"/>
      <c r="AM897" s="1"/>
      <c r="AN897" s="1"/>
    </row>
    <row r="898" spans="16:40" ht="15.75" customHeight="1" x14ac:dyDescent="0.25">
      <c r="P898" s="1"/>
      <c r="Q898" s="1"/>
      <c r="R898" s="1"/>
      <c r="S898" s="1"/>
      <c r="T898" s="1"/>
      <c r="U898" s="1"/>
      <c r="V898" s="1"/>
      <c r="W898" s="1"/>
      <c r="X898" s="1"/>
      <c r="Y898" s="1"/>
      <c r="AH898" s="1"/>
      <c r="AI898" s="1"/>
      <c r="AJ898" s="1"/>
      <c r="AK898" s="1"/>
      <c r="AL898" s="1"/>
      <c r="AM898" s="1"/>
      <c r="AN898" s="1"/>
    </row>
    <row r="899" spans="16:40" ht="15.75" customHeight="1" x14ac:dyDescent="0.25">
      <c r="P899" s="1"/>
      <c r="Q899" s="1"/>
      <c r="R899" s="1"/>
      <c r="S899" s="1"/>
      <c r="T899" s="1"/>
      <c r="U899" s="1"/>
      <c r="V899" s="1"/>
      <c r="W899" s="1"/>
      <c r="X899" s="1"/>
      <c r="Y899" s="1"/>
      <c r="AH899" s="1"/>
      <c r="AI899" s="1"/>
      <c r="AJ899" s="1"/>
      <c r="AK899" s="1"/>
      <c r="AL899" s="1"/>
      <c r="AM899" s="1"/>
      <c r="AN899" s="1"/>
    </row>
    <row r="900" spans="16:40" ht="15.75" customHeight="1" x14ac:dyDescent="0.25">
      <c r="P900" s="1"/>
      <c r="Q900" s="1"/>
      <c r="R900" s="1"/>
      <c r="S900" s="1"/>
      <c r="T900" s="1"/>
      <c r="U900" s="1"/>
      <c r="V900" s="1"/>
      <c r="W900" s="1"/>
      <c r="X900" s="1"/>
      <c r="Y900" s="1"/>
      <c r="AH900" s="1"/>
      <c r="AI900" s="1"/>
      <c r="AJ900" s="1"/>
      <c r="AK900" s="1"/>
      <c r="AL900" s="1"/>
      <c r="AM900" s="1"/>
      <c r="AN900" s="1"/>
    </row>
    <row r="901" spans="16:40" ht="15.75" customHeight="1" x14ac:dyDescent="0.25">
      <c r="P901" s="1"/>
      <c r="Q901" s="1"/>
      <c r="R901" s="1"/>
      <c r="S901" s="1"/>
      <c r="T901" s="1"/>
      <c r="U901" s="1"/>
      <c r="V901" s="1"/>
      <c r="W901" s="1"/>
      <c r="X901" s="1"/>
      <c r="Y901" s="1"/>
      <c r="AH901" s="1"/>
      <c r="AI901" s="1"/>
      <c r="AJ901" s="1"/>
      <c r="AK901" s="1"/>
      <c r="AL901" s="1"/>
      <c r="AM901" s="1"/>
      <c r="AN901" s="1"/>
    </row>
    <row r="902" spans="16:40" ht="15.75" customHeight="1" x14ac:dyDescent="0.25">
      <c r="P902" s="1"/>
      <c r="Q902" s="1"/>
      <c r="R902" s="1"/>
      <c r="S902" s="1"/>
      <c r="T902" s="1"/>
      <c r="U902" s="1"/>
      <c r="V902" s="1"/>
      <c r="W902" s="1"/>
      <c r="X902" s="1"/>
      <c r="Y902" s="1"/>
      <c r="AH902" s="1"/>
      <c r="AI902" s="1"/>
      <c r="AJ902" s="1"/>
      <c r="AK902" s="1"/>
      <c r="AL902" s="1"/>
      <c r="AM902" s="1"/>
      <c r="AN902" s="1"/>
    </row>
    <row r="903" spans="16:40" ht="15.75" customHeight="1" x14ac:dyDescent="0.25">
      <c r="P903" s="1"/>
      <c r="Q903" s="1"/>
      <c r="R903" s="1"/>
      <c r="S903" s="1"/>
      <c r="T903" s="1"/>
      <c r="U903" s="1"/>
      <c r="V903" s="1"/>
      <c r="W903" s="1"/>
      <c r="X903" s="1"/>
      <c r="Y903" s="1"/>
      <c r="AH903" s="1"/>
      <c r="AI903" s="1"/>
      <c r="AJ903" s="1"/>
      <c r="AK903" s="1"/>
      <c r="AL903" s="1"/>
      <c r="AM903" s="1"/>
      <c r="AN903" s="1"/>
    </row>
    <row r="904" spans="16:40" ht="15.75" customHeight="1" x14ac:dyDescent="0.25">
      <c r="P904" s="1"/>
      <c r="Q904" s="1"/>
      <c r="R904" s="1"/>
      <c r="S904" s="1"/>
      <c r="T904" s="1"/>
      <c r="U904" s="1"/>
      <c r="V904" s="1"/>
      <c r="W904" s="1"/>
      <c r="X904" s="1"/>
      <c r="Y904" s="1"/>
      <c r="AH904" s="1"/>
      <c r="AI904" s="1"/>
      <c r="AJ904" s="1"/>
      <c r="AK904" s="1"/>
      <c r="AL904" s="1"/>
      <c r="AM904" s="1"/>
      <c r="AN904" s="1"/>
    </row>
    <row r="905" spans="16:40" ht="15.75" customHeight="1" x14ac:dyDescent="0.25">
      <c r="P905" s="1"/>
      <c r="Q905" s="1"/>
      <c r="R905" s="1"/>
      <c r="S905" s="1"/>
      <c r="T905" s="1"/>
      <c r="U905" s="1"/>
      <c r="V905" s="1"/>
      <c r="W905" s="1"/>
      <c r="X905" s="1"/>
      <c r="Y905" s="1"/>
      <c r="AH905" s="1"/>
      <c r="AI905" s="1"/>
      <c r="AJ905" s="1"/>
      <c r="AK905" s="1"/>
      <c r="AL905" s="1"/>
      <c r="AM905" s="1"/>
      <c r="AN905" s="1"/>
    </row>
    <row r="906" spans="16:40" ht="15.75" customHeight="1" x14ac:dyDescent="0.25">
      <c r="P906" s="1"/>
      <c r="Q906" s="1"/>
      <c r="R906" s="1"/>
      <c r="S906" s="1"/>
      <c r="T906" s="1"/>
      <c r="U906" s="1"/>
      <c r="V906" s="1"/>
      <c r="W906" s="1"/>
      <c r="X906" s="1"/>
      <c r="Y906" s="1"/>
      <c r="AH906" s="1"/>
      <c r="AI906" s="1"/>
      <c r="AJ906" s="1"/>
      <c r="AK906" s="1"/>
      <c r="AL906" s="1"/>
      <c r="AM906" s="1"/>
      <c r="AN906" s="1"/>
    </row>
    <row r="907" spans="16:40" ht="15.75" customHeight="1" x14ac:dyDescent="0.25">
      <c r="P907" s="1"/>
      <c r="Q907" s="1"/>
      <c r="R907" s="1"/>
      <c r="S907" s="1"/>
      <c r="T907" s="1"/>
      <c r="U907" s="1"/>
      <c r="V907" s="1"/>
      <c r="W907" s="1"/>
      <c r="X907" s="1"/>
      <c r="Y907" s="1"/>
      <c r="AH907" s="1"/>
      <c r="AI907" s="1"/>
      <c r="AJ907" s="1"/>
      <c r="AK907" s="1"/>
      <c r="AL907" s="1"/>
      <c r="AM907" s="1"/>
      <c r="AN907" s="1"/>
    </row>
    <row r="908" spans="16:40" ht="15.75" customHeight="1" x14ac:dyDescent="0.25">
      <c r="P908" s="1"/>
      <c r="Q908" s="1"/>
      <c r="R908" s="1"/>
      <c r="S908" s="1"/>
      <c r="T908" s="1"/>
      <c r="U908" s="1"/>
      <c r="V908" s="1"/>
      <c r="W908" s="1"/>
      <c r="X908" s="1"/>
      <c r="Y908" s="1"/>
      <c r="AH908" s="1"/>
      <c r="AI908" s="1"/>
      <c r="AJ908" s="1"/>
      <c r="AK908" s="1"/>
      <c r="AL908" s="1"/>
      <c r="AM908" s="1"/>
      <c r="AN908" s="1"/>
    </row>
    <row r="909" spans="16:40" ht="15.75" customHeight="1" x14ac:dyDescent="0.25">
      <c r="P909" s="1"/>
      <c r="Q909" s="1"/>
      <c r="R909" s="1"/>
      <c r="S909" s="1"/>
      <c r="T909" s="1"/>
      <c r="U909" s="1"/>
      <c r="V909" s="1"/>
      <c r="W909" s="1"/>
      <c r="X909" s="1"/>
      <c r="Y909" s="1"/>
      <c r="AH909" s="1"/>
      <c r="AI909" s="1"/>
      <c r="AJ909" s="1"/>
      <c r="AK909" s="1"/>
      <c r="AL909" s="1"/>
      <c r="AM909" s="1"/>
      <c r="AN909" s="1"/>
    </row>
    <row r="910" spans="16:40" ht="15.75" customHeight="1" x14ac:dyDescent="0.25">
      <c r="P910" s="1"/>
      <c r="Q910" s="1"/>
      <c r="R910" s="1"/>
      <c r="S910" s="1"/>
      <c r="T910" s="1"/>
      <c r="U910" s="1"/>
      <c r="V910" s="1"/>
      <c r="W910" s="1"/>
      <c r="X910" s="1"/>
      <c r="Y910" s="1"/>
      <c r="AH910" s="1"/>
      <c r="AI910" s="1"/>
      <c r="AJ910" s="1"/>
      <c r="AK910" s="1"/>
      <c r="AL910" s="1"/>
      <c r="AM910" s="1"/>
      <c r="AN910" s="1"/>
    </row>
    <row r="911" spans="16:40" ht="15.75" customHeight="1" x14ac:dyDescent="0.25">
      <c r="P911" s="1"/>
      <c r="Q911" s="1"/>
      <c r="R911" s="1"/>
      <c r="S911" s="1"/>
      <c r="T911" s="1"/>
      <c r="U911" s="1"/>
      <c r="V911" s="1"/>
      <c r="W911" s="1"/>
      <c r="X911" s="1"/>
      <c r="Y911" s="1"/>
      <c r="AH911" s="1"/>
      <c r="AI911" s="1"/>
      <c r="AJ911" s="1"/>
      <c r="AK911" s="1"/>
      <c r="AL911" s="1"/>
      <c r="AM911" s="1"/>
      <c r="AN911" s="1"/>
    </row>
    <row r="912" spans="16:40" ht="15.75" customHeight="1" x14ac:dyDescent="0.25">
      <c r="P912" s="1"/>
      <c r="Q912" s="1"/>
      <c r="R912" s="1"/>
      <c r="S912" s="1"/>
      <c r="T912" s="1"/>
      <c r="U912" s="1"/>
      <c r="V912" s="1"/>
      <c r="W912" s="1"/>
      <c r="X912" s="1"/>
      <c r="Y912" s="1"/>
      <c r="AH912" s="1"/>
      <c r="AI912" s="1"/>
      <c r="AJ912" s="1"/>
      <c r="AK912" s="1"/>
      <c r="AL912" s="1"/>
      <c r="AM912" s="1"/>
      <c r="AN912" s="1"/>
    </row>
    <row r="913" spans="16:40" ht="15.75" customHeight="1" x14ac:dyDescent="0.25">
      <c r="P913" s="1"/>
      <c r="Q913" s="1"/>
      <c r="R913" s="1"/>
      <c r="S913" s="1"/>
      <c r="T913" s="1"/>
      <c r="U913" s="1"/>
      <c r="V913" s="1"/>
      <c r="W913" s="1"/>
      <c r="X913" s="1"/>
      <c r="Y913" s="1"/>
      <c r="AH913" s="1"/>
      <c r="AI913" s="1"/>
      <c r="AJ913" s="1"/>
      <c r="AK913" s="1"/>
      <c r="AL913" s="1"/>
      <c r="AM913" s="1"/>
      <c r="AN913" s="1"/>
    </row>
    <row r="914" spans="16:40" ht="15.75" customHeight="1" x14ac:dyDescent="0.25">
      <c r="P914" s="1"/>
      <c r="Q914" s="1"/>
      <c r="R914" s="1"/>
      <c r="S914" s="1"/>
      <c r="T914" s="1"/>
      <c r="U914" s="1"/>
      <c r="V914" s="1"/>
      <c r="W914" s="1"/>
      <c r="X914" s="1"/>
      <c r="Y914" s="1"/>
      <c r="AH914" s="1"/>
      <c r="AI914" s="1"/>
      <c r="AJ914" s="1"/>
      <c r="AK914" s="1"/>
      <c r="AL914" s="1"/>
      <c r="AM914" s="1"/>
      <c r="AN914" s="1"/>
    </row>
    <row r="915" spans="16:40" ht="15.75" customHeight="1" x14ac:dyDescent="0.25">
      <c r="P915" s="1"/>
      <c r="Q915" s="1"/>
      <c r="R915" s="1"/>
      <c r="S915" s="1"/>
      <c r="T915" s="1"/>
      <c r="U915" s="1"/>
      <c r="V915" s="1"/>
      <c r="W915" s="1"/>
      <c r="X915" s="1"/>
      <c r="Y915" s="1"/>
      <c r="AH915" s="1"/>
      <c r="AI915" s="1"/>
      <c r="AJ915" s="1"/>
      <c r="AK915" s="1"/>
      <c r="AL915" s="1"/>
      <c r="AM915" s="1"/>
      <c r="AN915" s="1"/>
    </row>
    <row r="916" spans="16:40" ht="15.75" customHeight="1" x14ac:dyDescent="0.25">
      <c r="P916" s="1"/>
      <c r="Q916" s="1"/>
      <c r="R916" s="1"/>
      <c r="S916" s="1"/>
      <c r="T916" s="1"/>
      <c r="U916" s="1"/>
      <c r="V916" s="1"/>
      <c r="W916" s="1"/>
      <c r="X916" s="1"/>
      <c r="Y916" s="1"/>
      <c r="AH916" s="1"/>
      <c r="AI916" s="1"/>
      <c r="AJ916" s="1"/>
      <c r="AK916" s="1"/>
      <c r="AL916" s="1"/>
      <c r="AM916" s="1"/>
      <c r="AN916" s="1"/>
    </row>
    <row r="917" spans="16:40" ht="15.75" customHeight="1" x14ac:dyDescent="0.25">
      <c r="P917" s="1"/>
      <c r="Q917" s="1"/>
      <c r="R917" s="1"/>
      <c r="S917" s="1"/>
      <c r="T917" s="1"/>
      <c r="U917" s="1"/>
      <c r="V917" s="1"/>
      <c r="W917" s="1"/>
      <c r="X917" s="1"/>
      <c r="Y917" s="1"/>
      <c r="AH917" s="1"/>
      <c r="AI917" s="1"/>
      <c r="AJ917" s="1"/>
      <c r="AK917" s="1"/>
      <c r="AL917" s="1"/>
      <c r="AM917" s="1"/>
      <c r="AN917" s="1"/>
    </row>
    <row r="918" spans="16:40" ht="15.75" customHeight="1" x14ac:dyDescent="0.25">
      <c r="P918" s="1"/>
      <c r="Q918" s="1"/>
      <c r="R918" s="1"/>
      <c r="S918" s="1"/>
      <c r="T918" s="1"/>
      <c r="U918" s="1"/>
      <c r="V918" s="1"/>
      <c r="W918" s="1"/>
      <c r="X918" s="1"/>
      <c r="Y918" s="1"/>
      <c r="AH918" s="1"/>
      <c r="AI918" s="1"/>
      <c r="AJ918" s="1"/>
      <c r="AK918" s="1"/>
      <c r="AL918" s="1"/>
      <c r="AM918" s="1"/>
      <c r="AN918" s="1"/>
    </row>
    <row r="919" spans="16:40" ht="15.75" customHeight="1" x14ac:dyDescent="0.25">
      <c r="P919" s="1"/>
      <c r="Q919" s="1"/>
      <c r="R919" s="1"/>
      <c r="S919" s="1"/>
      <c r="T919" s="1"/>
      <c r="U919" s="1"/>
      <c r="V919" s="1"/>
      <c r="W919" s="1"/>
      <c r="X919" s="1"/>
      <c r="Y919" s="1"/>
      <c r="AH919" s="1"/>
      <c r="AI919" s="1"/>
      <c r="AJ919" s="1"/>
      <c r="AK919" s="1"/>
      <c r="AL919" s="1"/>
      <c r="AM919" s="1"/>
      <c r="AN919" s="1"/>
    </row>
    <row r="920" spans="16:40" ht="15.75" customHeight="1" x14ac:dyDescent="0.25">
      <c r="P920" s="1"/>
      <c r="Q920" s="1"/>
      <c r="R920" s="1"/>
      <c r="S920" s="1"/>
      <c r="T920" s="1"/>
      <c r="U920" s="1"/>
      <c r="V920" s="1"/>
      <c r="W920" s="1"/>
      <c r="X920" s="1"/>
      <c r="Y920" s="1"/>
      <c r="AH920" s="1"/>
      <c r="AI920" s="1"/>
      <c r="AJ920" s="1"/>
      <c r="AK920" s="1"/>
      <c r="AL920" s="1"/>
      <c r="AM920" s="1"/>
      <c r="AN920" s="1"/>
    </row>
    <row r="921" spans="16:40" ht="15.75" customHeight="1" x14ac:dyDescent="0.25">
      <c r="P921" s="1"/>
      <c r="Q921" s="1"/>
      <c r="R921" s="1"/>
      <c r="S921" s="1"/>
      <c r="T921" s="1"/>
      <c r="U921" s="1"/>
      <c r="V921" s="1"/>
      <c r="W921" s="1"/>
      <c r="X921" s="1"/>
      <c r="Y921" s="1"/>
      <c r="AH921" s="1"/>
      <c r="AI921" s="1"/>
      <c r="AJ921" s="1"/>
      <c r="AK921" s="1"/>
      <c r="AL921" s="1"/>
      <c r="AM921" s="1"/>
      <c r="AN921" s="1"/>
    </row>
    <row r="922" spans="16:40" ht="15.75" customHeight="1" x14ac:dyDescent="0.25">
      <c r="P922" s="1"/>
      <c r="Q922" s="1"/>
      <c r="R922" s="1"/>
      <c r="S922" s="1"/>
      <c r="T922" s="1"/>
      <c r="U922" s="1"/>
      <c r="V922" s="1"/>
      <c r="W922" s="1"/>
      <c r="X922" s="1"/>
      <c r="Y922" s="1"/>
      <c r="AH922" s="1"/>
      <c r="AI922" s="1"/>
      <c r="AJ922" s="1"/>
      <c r="AK922" s="1"/>
      <c r="AL922" s="1"/>
      <c r="AM922" s="1"/>
      <c r="AN922" s="1"/>
    </row>
    <row r="923" spans="16:40" ht="15.75" customHeight="1" x14ac:dyDescent="0.25">
      <c r="P923" s="1"/>
      <c r="Q923" s="1"/>
      <c r="R923" s="1"/>
      <c r="S923" s="1"/>
      <c r="T923" s="1"/>
      <c r="U923" s="1"/>
      <c r="V923" s="1"/>
      <c r="W923" s="1"/>
      <c r="X923" s="1"/>
      <c r="Y923" s="1"/>
      <c r="AH923" s="1"/>
      <c r="AI923" s="1"/>
      <c r="AJ923" s="1"/>
      <c r="AK923" s="1"/>
      <c r="AL923" s="1"/>
      <c r="AM923" s="1"/>
      <c r="AN923" s="1"/>
    </row>
    <row r="924" spans="16:40" ht="15.75" customHeight="1" x14ac:dyDescent="0.25">
      <c r="P924" s="1"/>
      <c r="Q924" s="1"/>
      <c r="R924" s="1"/>
      <c r="S924" s="1"/>
      <c r="T924" s="1"/>
      <c r="U924" s="1"/>
      <c r="V924" s="1"/>
      <c r="W924" s="1"/>
      <c r="X924" s="1"/>
      <c r="Y924" s="1"/>
      <c r="AH924" s="1"/>
      <c r="AI924" s="1"/>
      <c r="AJ924" s="1"/>
      <c r="AK924" s="1"/>
      <c r="AL924" s="1"/>
      <c r="AM924" s="1"/>
      <c r="AN924" s="1"/>
    </row>
    <row r="925" spans="16:40" ht="15.75" customHeight="1" x14ac:dyDescent="0.25">
      <c r="P925" s="1"/>
      <c r="Q925" s="1"/>
      <c r="R925" s="1"/>
      <c r="S925" s="1"/>
      <c r="T925" s="1"/>
      <c r="U925" s="1"/>
      <c r="V925" s="1"/>
      <c r="W925" s="1"/>
      <c r="X925" s="1"/>
      <c r="Y925" s="1"/>
      <c r="AH925" s="1"/>
      <c r="AI925" s="1"/>
      <c r="AJ925" s="1"/>
      <c r="AK925" s="1"/>
      <c r="AL925" s="1"/>
      <c r="AM925" s="1"/>
      <c r="AN925" s="1"/>
    </row>
    <row r="926" spans="16:40" ht="15.75" customHeight="1" x14ac:dyDescent="0.25">
      <c r="P926" s="1"/>
      <c r="Q926" s="1"/>
      <c r="R926" s="1"/>
      <c r="S926" s="1"/>
      <c r="T926" s="1"/>
      <c r="U926" s="1"/>
      <c r="V926" s="1"/>
      <c r="W926" s="1"/>
      <c r="X926" s="1"/>
      <c r="Y926" s="1"/>
      <c r="AH926" s="1"/>
      <c r="AI926" s="1"/>
      <c r="AJ926" s="1"/>
      <c r="AK926" s="1"/>
      <c r="AL926" s="1"/>
      <c r="AM926" s="1"/>
      <c r="AN926" s="1"/>
    </row>
    <row r="927" spans="16:40" ht="15.75" customHeight="1" x14ac:dyDescent="0.25">
      <c r="P927" s="1"/>
      <c r="Q927" s="1"/>
      <c r="R927" s="1"/>
      <c r="S927" s="1"/>
      <c r="T927" s="1"/>
      <c r="U927" s="1"/>
      <c r="V927" s="1"/>
      <c r="W927" s="1"/>
      <c r="X927" s="1"/>
      <c r="Y927" s="1"/>
      <c r="AH927" s="1"/>
      <c r="AI927" s="1"/>
      <c r="AJ927" s="1"/>
      <c r="AK927" s="1"/>
      <c r="AL927" s="1"/>
      <c r="AM927" s="1"/>
      <c r="AN927" s="1"/>
    </row>
    <row r="928" spans="16:40" ht="15.75" customHeight="1" x14ac:dyDescent="0.25">
      <c r="P928" s="1"/>
      <c r="Q928" s="1"/>
      <c r="R928" s="1"/>
      <c r="S928" s="1"/>
      <c r="T928" s="1"/>
      <c r="U928" s="1"/>
      <c r="V928" s="1"/>
      <c r="W928" s="1"/>
      <c r="X928" s="1"/>
      <c r="Y928" s="1"/>
      <c r="AH928" s="1"/>
      <c r="AI928" s="1"/>
      <c r="AJ928" s="1"/>
      <c r="AK928" s="1"/>
      <c r="AL928" s="1"/>
      <c r="AM928" s="1"/>
      <c r="AN928" s="1"/>
    </row>
    <row r="929" spans="16:40" ht="15.75" customHeight="1" x14ac:dyDescent="0.25">
      <c r="P929" s="1"/>
      <c r="Q929" s="1"/>
      <c r="R929" s="1"/>
      <c r="S929" s="1"/>
      <c r="T929" s="1"/>
      <c r="U929" s="1"/>
      <c r="V929" s="1"/>
      <c r="W929" s="1"/>
      <c r="X929" s="1"/>
      <c r="Y929" s="1"/>
      <c r="AH929" s="1"/>
      <c r="AI929" s="1"/>
      <c r="AJ929" s="1"/>
      <c r="AK929" s="1"/>
      <c r="AL929" s="1"/>
      <c r="AM929" s="1"/>
      <c r="AN929" s="1"/>
    </row>
    <row r="930" spans="16:40" ht="15.75" customHeight="1" x14ac:dyDescent="0.25">
      <c r="P930" s="1"/>
      <c r="Q930" s="1"/>
      <c r="R930" s="1"/>
      <c r="S930" s="1"/>
      <c r="T930" s="1"/>
      <c r="U930" s="1"/>
      <c r="V930" s="1"/>
      <c r="W930" s="1"/>
      <c r="X930" s="1"/>
      <c r="Y930" s="1"/>
      <c r="AH930" s="1"/>
      <c r="AI930" s="1"/>
      <c r="AJ930" s="1"/>
      <c r="AK930" s="1"/>
      <c r="AL930" s="1"/>
      <c r="AM930" s="1"/>
      <c r="AN930" s="1"/>
    </row>
    <row r="931" spans="16:40" ht="15.75" customHeight="1" x14ac:dyDescent="0.25">
      <c r="P931" s="1"/>
      <c r="Q931" s="1"/>
      <c r="R931" s="1"/>
      <c r="S931" s="1"/>
      <c r="T931" s="1"/>
      <c r="U931" s="1"/>
      <c r="V931" s="1"/>
      <c r="W931" s="1"/>
      <c r="X931" s="1"/>
      <c r="Y931" s="1"/>
      <c r="AH931" s="1"/>
      <c r="AI931" s="1"/>
      <c r="AJ931" s="1"/>
      <c r="AK931" s="1"/>
      <c r="AL931" s="1"/>
      <c r="AM931" s="1"/>
      <c r="AN931" s="1"/>
    </row>
    <row r="932" spans="16:40" ht="15.75" customHeight="1" x14ac:dyDescent="0.25">
      <c r="P932" s="1"/>
      <c r="Q932" s="1"/>
      <c r="R932" s="1"/>
      <c r="S932" s="1"/>
      <c r="T932" s="1"/>
      <c r="U932" s="1"/>
      <c r="V932" s="1"/>
      <c r="W932" s="1"/>
      <c r="X932" s="1"/>
      <c r="Y932" s="1"/>
      <c r="AH932" s="1"/>
      <c r="AI932" s="1"/>
      <c r="AJ932" s="1"/>
      <c r="AK932" s="1"/>
      <c r="AL932" s="1"/>
      <c r="AM932" s="1"/>
      <c r="AN932" s="1"/>
    </row>
    <row r="933" spans="16:40" ht="15.75" customHeight="1" x14ac:dyDescent="0.25">
      <c r="P933" s="1"/>
      <c r="Q933" s="1"/>
      <c r="R933" s="1"/>
      <c r="S933" s="1"/>
      <c r="T933" s="1"/>
      <c r="U933" s="1"/>
      <c r="V933" s="1"/>
      <c r="W933" s="1"/>
      <c r="X933" s="1"/>
      <c r="Y933" s="1"/>
      <c r="AH933" s="1"/>
      <c r="AI933" s="1"/>
      <c r="AJ933" s="1"/>
      <c r="AK933" s="1"/>
      <c r="AL933" s="1"/>
      <c r="AM933" s="1"/>
      <c r="AN933" s="1"/>
    </row>
    <row r="934" spans="16:40" ht="15.75" customHeight="1" x14ac:dyDescent="0.25">
      <c r="P934" s="1"/>
      <c r="Q934" s="1"/>
      <c r="R934" s="1"/>
      <c r="S934" s="1"/>
      <c r="T934" s="1"/>
      <c r="U934" s="1"/>
      <c r="V934" s="1"/>
      <c r="W934" s="1"/>
      <c r="X934" s="1"/>
      <c r="Y934" s="1"/>
      <c r="AH934" s="1"/>
      <c r="AI934" s="1"/>
      <c r="AJ934" s="1"/>
      <c r="AK934" s="1"/>
      <c r="AL934" s="1"/>
      <c r="AM934" s="1"/>
      <c r="AN934" s="1"/>
    </row>
    <row r="935" spans="16:40" ht="15.75" customHeight="1" x14ac:dyDescent="0.25">
      <c r="P935" s="1"/>
      <c r="Q935" s="1"/>
      <c r="R935" s="1"/>
      <c r="S935" s="1"/>
      <c r="T935" s="1"/>
      <c r="U935" s="1"/>
      <c r="V935" s="1"/>
      <c r="W935" s="1"/>
      <c r="X935" s="1"/>
      <c r="Y935" s="1"/>
      <c r="AH935" s="1"/>
      <c r="AI935" s="1"/>
      <c r="AJ935" s="1"/>
      <c r="AK935" s="1"/>
      <c r="AL935" s="1"/>
      <c r="AM935" s="1"/>
      <c r="AN935" s="1"/>
    </row>
    <row r="936" spans="16:40" ht="15.75" customHeight="1" x14ac:dyDescent="0.25">
      <c r="P936" s="1"/>
      <c r="Q936" s="1"/>
      <c r="R936" s="1"/>
      <c r="S936" s="1"/>
      <c r="T936" s="1"/>
      <c r="U936" s="1"/>
      <c r="V936" s="1"/>
      <c r="W936" s="1"/>
      <c r="X936" s="1"/>
      <c r="Y936" s="1"/>
      <c r="AH936" s="1"/>
      <c r="AI936" s="1"/>
      <c r="AJ936" s="1"/>
      <c r="AK936" s="1"/>
      <c r="AL936" s="1"/>
      <c r="AM936" s="1"/>
      <c r="AN936" s="1"/>
    </row>
    <row r="937" spans="16:40" ht="15.75" customHeight="1" x14ac:dyDescent="0.25">
      <c r="P937" s="1"/>
      <c r="Q937" s="1"/>
      <c r="R937" s="1"/>
      <c r="S937" s="1"/>
      <c r="T937" s="1"/>
      <c r="U937" s="1"/>
      <c r="V937" s="1"/>
      <c r="W937" s="1"/>
      <c r="X937" s="1"/>
      <c r="Y937" s="1"/>
      <c r="AH937" s="1"/>
      <c r="AI937" s="1"/>
      <c r="AJ937" s="1"/>
      <c r="AK937" s="1"/>
      <c r="AL937" s="1"/>
      <c r="AM937" s="1"/>
      <c r="AN937" s="1"/>
    </row>
    <row r="938" spans="16:40" ht="15.75" customHeight="1" x14ac:dyDescent="0.25">
      <c r="P938" s="1"/>
      <c r="Q938" s="1"/>
      <c r="R938" s="1"/>
      <c r="S938" s="1"/>
      <c r="T938" s="1"/>
      <c r="U938" s="1"/>
      <c r="V938" s="1"/>
      <c r="W938" s="1"/>
      <c r="X938" s="1"/>
      <c r="Y938" s="1"/>
      <c r="AH938" s="1"/>
      <c r="AI938" s="1"/>
      <c r="AJ938" s="1"/>
      <c r="AK938" s="1"/>
      <c r="AL938" s="1"/>
      <c r="AM938" s="1"/>
      <c r="AN938" s="1"/>
    </row>
    <row r="939" spans="16:40" ht="15.75" customHeight="1" x14ac:dyDescent="0.25">
      <c r="P939" s="1"/>
      <c r="Q939" s="1"/>
      <c r="R939" s="1"/>
      <c r="S939" s="1"/>
      <c r="T939" s="1"/>
      <c r="U939" s="1"/>
      <c r="V939" s="1"/>
      <c r="W939" s="1"/>
      <c r="X939" s="1"/>
      <c r="Y939" s="1"/>
      <c r="AH939" s="1"/>
      <c r="AI939" s="1"/>
      <c r="AJ939" s="1"/>
      <c r="AK939" s="1"/>
      <c r="AL939" s="1"/>
      <c r="AM939" s="1"/>
      <c r="AN939" s="1"/>
    </row>
    <row r="940" spans="16:40" ht="15.75" customHeight="1" x14ac:dyDescent="0.25">
      <c r="P940" s="1"/>
      <c r="Q940" s="1"/>
      <c r="R940" s="1"/>
      <c r="S940" s="1"/>
      <c r="T940" s="1"/>
      <c r="U940" s="1"/>
      <c r="V940" s="1"/>
      <c r="W940" s="1"/>
      <c r="X940" s="1"/>
      <c r="Y940" s="1"/>
      <c r="AH940" s="1"/>
      <c r="AI940" s="1"/>
      <c r="AJ940" s="1"/>
      <c r="AK940" s="1"/>
      <c r="AL940" s="1"/>
      <c r="AM940" s="1"/>
      <c r="AN940" s="1"/>
    </row>
    <row r="941" spans="16:40" ht="15.75" customHeight="1" x14ac:dyDescent="0.25">
      <c r="P941" s="1"/>
      <c r="Q941" s="1"/>
      <c r="R941" s="1"/>
      <c r="S941" s="1"/>
      <c r="T941" s="1"/>
      <c r="U941" s="1"/>
      <c r="V941" s="1"/>
      <c r="W941" s="1"/>
      <c r="X941" s="1"/>
      <c r="Y941" s="1"/>
      <c r="AH941" s="1"/>
      <c r="AI941" s="1"/>
      <c r="AJ941" s="1"/>
      <c r="AK941" s="1"/>
      <c r="AL941" s="1"/>
      <c r="AM941" s="1"/>
      <c r="AN941" s="1"/>
    </row>
    <row r="942" spans="16:40" ht="15.75" customHeight="1" x14ac:dyDescent="0.25">
      <c r="P942" s="1"/>
      <c r="Q942" s="1"/>
      <c r="R942" s="1"/>
      <c r="S942" s="1"/>
      <c r="T942" s="1"/>
      <c r="U942" s="1"/>
      <c r="V942" s="1"/>
      <c r="W942" s="1"/>
      <c r="X942" s="1"/>
      <c r="Y942" s="1"/>
      <c r="AH942" s="1"/>
      <c r="AI942" s="1"/>
      <c r="AJ942" s="1"/>
      <c r="AK942" s="1"/>
      <c r="AL942" s="1"/>
      <c r="AM942" s="1"/>
      <c r="AN942" s="1"/>
    </row>
    <row r="943" spans="16:40" ht="15.75" customHeight="1" x14ac:dyDescent="0.25">
      <c r="P943" s="1"/>
      <c r="Q943" s="1"/>
      <c r="R943" s="1"/>
      <c r="S943" s="1"/>
      <c r="T943" s="1"/>
      <c r="U943" s="1"/>
      <c r="V943" s="1"/>
      <c r="W943" s="1"/>
      <c r="X943" s="1"/>
      <c r="Y943" s="1"/>
      <c r="AH943" s="1"/>
      <c r="AI943" s="1"/>
      <c r="AJ943" s="1"/>
      <c r="AK943" s="1"/>
      <c r="AL943" s="1"/>
      <c r="AM943" s="1"/>
      <c r="AN943" s="1"/>
    </row>
    <row r="944" spans="16:40" ht="15.75" customHeight="1" x14ac:dyDescent="0.25">
      <c r="P944" s="1"/>
      <c r="Q944" s="1"/>
      <c r="R944" s="1"/>
      <c r="S944" s="1"/>
      <c r="T944" s="1"/>
      <c r="U944" s="1"/>
      <c r="V944" s="1"/>
      <c r="W944" s="1"/>
      <c r="X944" s="1"/>
      <c r="Y944" s="1"/>
      <c r="AH944" s="1"/>
      <c r="AI944" s="1"/>
      <c r="AJ944" s="1"/>
      <c r="AK944" s="1"/>
      <c r="AL944" s="1"/>
      <c r="AM944" s="1"/>
      <c r="AN944" s="1"/>
    </row>
    <row r="945" spans="16:40" ht="15.75" customHeight="1" x14ac:dyDescent="0.25">
      <c r="P945" s="1"/>
      <c r="Q945" s="1"/>
      <c r="R945" s="1"/>
      <c r="S945" s="1"/>
      <c r="T945" s="1"/>
      <c r="U945" s="1"/>
      <c r="V945" s="1"/>
      <c r="W945" s="1"/>
      <c r="X945" s="1"/>
      <c r="Y945" s="1"/>
      <c r="AH945" s="1"/>
      <c r="AI945" s="1"/>
      <c r="AJ945" s="1"/>
      <c r="AK945" s="1"/>
      <c r="AL945" s="1"/>
      <c r="AM945" s="1"/>
      <c r="AN945" s="1"/>
    </row>
    <row r="946" spans="16:40" ht="15.75" customHeight="1" x14ac:dyDescent="0.25">
      <c r="P946" s="1"/>
      <c r="Q946" s="1"/>
      <c r="R946" s="1"/>
      <c r="S946" s="1"/>
      <c r="T946" s="1"/>
      <c r="U946" s="1"/>
      <c r="V946" s="1"/>
      <c r="W946" s="1"/>
      <c r="X946" s="1"/>
      <c r="Y946" s="1"/>
      <c r="AH946" s="1"/>
      <c r="AI946" s="1"/>
      <c r="AJ946" s="1"/>
      <c r="AK946" s="1"/>
      <c r="AL946" s="1"/>
      <c r="AM946" s="1"/>
      <c r="AN946" s="1"/>
    </row>
    <row r="947" spans="16:40" ht="15.75" customHeight="1" x14ac:dyDescent="0.25">
      <c r="P947" s="1"/>
      <c r="Q947" s="1"/>
      <c r="R947" s="1"/>
      <c r="S947" s="1"/>
      <c r="T947" s="1"/>
      <c r="U947" s="1"/>
      <c r="V947" s="1"/>
      <c r="W947" s="1"/>
      <c r="X947" s="1"/>
      <c r="Y947" s="1"/>
      <c r="AH947" s="1"/>
      <c r="AI947" s="1"/>
      <c r="AJ947" s="1"/>
      <c r="AK947" s="1"/>
      <c r="AL947" s="1"/>
      <c r="AM947" s="1"/>
      <c r="AN947" s="1"/>
    </row>
    <row r="948" spans="16:40" ht="15.75" customHeight="1" x14ac:dyDescent="0.25">
      <c r="P948" s="1"/>
      <c r="Q948" s="1"/>
      <c r="R948" s="1"/>
      <c r="S948" s="1"/>
      <c r="T948" s="1"/>
      <c r="U948" s="1"/>
      <c r="V948" s="1"/>
      <c r="W948" s="1"/>
      <c r="X948" s="1"/>
      <c r="Y948" s="1"/>
      <c r="AH948" s="1"/>
      <c r="AI948" s="1"/>
      <c r="AJ948" s="1"/>
      <c r="AK948" s="1"/>
      <c r="AL948" s="1"/>
      <c r="AM948" s="1"/>
      <c r="AN948" s="1"/>
    </row>
    <row r="949" spans="16:40" ht="15.75" customHeight="1" x14ac:dyDescent="0.25">
      <c r="P949" s="1"/>
      <c r="Q949" s="1"/>
      <c r="R949" s="1"/>
      <c r="S949" s="1"/>
      <c r="T949" s="1"/>
      <c r="U949" s="1"/>
      <c r="V949" s="1"/>
      <c r="W949" s="1"/>
      <c r="X949" s="1"/>
      <c r="Y949" s="1"/>
      <c r="AH949" s="1"/>
      <c r="AI949" s="1"/>
      <c r="AJ949" s="1"/>
      <c r="AK949" s="1"/>
      <c r="AL949" s="1"/>
      <c r="AM949" s="1"/>
      <c r="AN949" s="1"/>
    </row>
    <row r="950" spans="16:40" ht="15.75" customHeight="1" x14ac:dyDescent="0.25">
      <c r="P950" s="1"/>
      <c r="Q950" s="1"/>
      <c r="R950" s="1"/>
      <c r="S950" s="1"/>
      <c r="T950" s="1"/>
      <c r="U950" s="1"/>
      <c r="V950" s="1"/>
      <c r="W950" s="1"/>
      <c r="X950" s="1"/>
      <c r="Y950" s="1"/>
      <c r="AH950" s="1"/>
      <c r="AI950" s="1"/>
      <c r="AJ950" s="1"/>
      <c r="AK950" s="1"/>
      <c r="AL950" s="1"/>
      <c r="AM950" s="1"/>
      <c r="AN950" s="1"/>
    </row>
    <row r="951" spans="16:40" ht="15.75" customHeight="1" x14ac:dyDescent="0.25">
      <c r="P951" s="1"/>
      <c r="Q951" s="1"/>
      <c r="R951" s="1"/>
      <c r="S951" s="1"/>
      <c r="T951" s="1"/>
      <c r="U951" s="1"/>
      <c r="V951" s="1"/>
      <c r="W951" s="1"/>
      <c r="X951" s="1"/>
      <c r="Y951" s="1"/>
      <c r="AH951" s="1"/>
      <c r="AI951" s="1"/>
      <c r="AJ951" s="1"/>
      <c r="AK951" s="1"/>
      <c r="AL951" s="1"/>
      <c r="AM951" s="1"/>
      <c r="AN951" s="1"/>
    </row>
    <row r="952" spans="16:40" ht="15.75" customHeight="1" x14ac:dyDescent="0.25">
      <c r="P952" s="1"/>
      <c r="Q952" s="1"/>
      <c r="R952" s="1"/>
      <c r="S952" s="1"/>
      <c r="T952" s="1"/>
      <c r="U952" s="1"/>
      <c r="V952" s="1"/>
      <c r="W952" s="1"/>
      <c r="X952" s="1"/>
      <c r="Y952" s="1"/>
      <c r="AH952" s="1"/>
      <c r="AI952" s="1"/>
      <c r="AJ952" s="1"/>
      <c r="AK952" s="1"/>
      <c r="AL952" s="1"/>
      <c r="AM952" s="1"/>
      <c r="AN952" s="1"/>
    </row>
    <row r="953" spans="16:40" ht="15.75" customHeight="1" x14ac:dyDescent="0.25">
      <c r="P953" s="1"/>
      <c r="Q953" s="1"/>
      <c r="R953" s="1"/>
      <c r="S953" s="1"/>
      <c r="T953" s="1"/>
      <c r="U953" s="1"/>
      <c r="V953" s="1"/>
      <c r="W953" s="1"/>
      <c r="X953" s="1"/>
      <c r="Y953" s="1"/>
      <c r="AH953" s="1"/>
      <c r="AI953" s="1"/>
      <c r="AJ953" s="1"/>
      <c r="AK953" s="1"/>
      <c r="AL953" s="1"/>
      <c r="AM953" s="1"/>
      <c r="AN953" s="1"/>
    </row>
    <row r="954" spans="16:40" ht="15.75" customHeight="1" x14ac:dyDescent="0.25">
      <c r="P954" s="1"/>
      <c r="Q954" s="1"/>
      <c r="R954" s="1"/>
      <c r="S954" s="1"/>
      <c r="T954" s="1"/>
      <c r="U954" s="1"/>
      <c r="V954" s="1"/>
      <c r="W954" s="1"/>
      <c r="X954" s="1"/>
      <c r="Y954" s="1"/>
      <c r="AH954" s="1"/>
      <c r="AI954" s="1"/>
      <c r="AJ954" s="1"/>
      <c r="AK954" s="1"/>
      <c r="AL954" s="1"/>
      <c r="AM954" s="1"/>
      <c r="AN954" s="1"/>
    </row>
    <row r="955" spans="16:40" ht="15.75" customHeight="1" x14ac:dyDescent="0.25">
      <c r="P955" s="1"/>
      <c r="Q955" s="1"/>
      <c r="R955" s="1"/>
      <c r="S955" s="1"/>
      <c r="T955" s="1"/>
      <c r="U955" s="1"/>
      <c r="V955" s="1"/>
      <c r="W955" s="1"/>
      <c r="X955" s="1"/>
      <c r="Y955" s="1"/>
      <c r="AH955" s="1"/>
      <c r="AI955" s="1"/>
      <c r="AJ955" s="1"/>
      <c r="AK955" s="1"/>
      <c r="AL955" s="1"/>
      <c r="AM955" s="1"/>
      <c r="AN955" s="1"/>
    </row>
    <row r="956" spans="16:40" ht="15.75" customHeight="1" x14ac:dyDescent="0.25">
      <c r="P956" s="1"/>
      <c r="Q956" s="1"/>
      <c r="R956" s="1"/>
      <c r="S956" s="1"/>
      <c r="T956" s="1"/>
      <c r="U956" s="1"/>
      <c r="V956" s="1"/>
      <c r="W956" s="1"/>
      <c r="X956" s="1"/>
      <c r="Y956" s="1"/>
      <c r="AH956" s="1"/>
      <c r="AI956" s="1"/>
      <c r="AJ956" s="1"/>
      <c r="AK956" s="1"/>
      <c r="AL956" s="1"/>
      <c r="AM956" s="1"/>
      <c r="AN956" s="1"/>
    </row>
    <row r="957" spans="16:40" ht="15.75" customHeight="1" x14ac:dyDescent="0.25">
      <c r="P957" s="1"/>
      <c r="Q957" s="1"/>
      <c r="R957" s="1"/>
      <c r="S957" s="1"/>
      <c r="T957" s="1"/>
      <c r="U957" s="1"/>
      <c r="V957" s="1"/>
      <c r="W957" s="1"/>
      <c r="X957" s="1"/>
      <c r="Y957" s="1"/>
      <c r="AH957" s="1"/>
      <c r="AI957" s="1"/>
      <c r="AJ957" s="1"/>
      <c r="AK957" s="1"/>
      <c r="AL957" s="1"/>
      <c r="AM957" s="1"/>
      <c r="AN957" s="1"/>
    </row>
    <row r="958" spans="16:40" ht="15.75" customHeight="1" x14ac:dyDescent="0.25">
      <c r="P958" s="1"/>
      <c r="Q958" s="1"/>
      <c r="R958" s="1"/>
      <c r="S958" s="1"/>
      <c r="T958" s="1"/>
      <c r="U958" s="1"/>
      <c r="V958" s="1"/>
      <c r="W958" s="1"/>
      <c r="X958" s="1"/>
      <c r="Y958" s="1"/>
      <c r="AH958" s="1"/>
      <c r="AI958" s="1"/>
      <c r="AJ958" s="1"/>
      <c r="AK958" s="1"/>
      <c r="AL958" s="1"/>
      <c r="AM958" s="1"/>
      <c r="AN958" s="1"/>
    </row>
    <row r="959" spans="16:40" ht="15.75" customHeight="1" x14ac:dyDescent="0.25">
      <c r="P959" s="1"/>
      <c r="Q959" s="1"/>
      <c r="R959" s="1"/>
      <c r="S959" s="1"/>
      <c r="T959" s="1"/>
      <c r="U959" s="1"/>
      <c r="V959" s="1"/>
      <c r="W959" s="1"/>
      <c r="X959" s="1"/>
      <c r="Y959" s="1"/>
      <c r="AH959" s="1"/>
      <c r="AI959" s="1"/>
      <c r="AJ959" s="1"/>
      <c r="AK959" s="1"/>
      <c r="AL959" s="1"/>
      <c r="AM959" s="1"/>
      <c r="AN959" s="1"/>
    </row>
    <row r="960" spans="16:40" ht="15.75" customHeight="1" x14ac:dyDescent="0.25">
      <c r="P960" s="1"/>
      <c r="Q960" s="1"/>
      <c r="R960" s="1"/>
      <c r="S960" s="1"/>
      <c r="T960" s="1"/>
      <c r="U960" s="1"/>
      <c r="V960" s="1"/>
      <c r="W960" s="1"/>
      <c r="X960" s="1"/>
      <c r="Y960" s="1"/>
      <c r="AH960" s="1"/>
      <c r="AI960" s="1"/>
      <c r="AJ960" s="1"/>
      <c r="AK960" s="1"/>
      <c r="AL960" s="1"/>
      <c r="AM960" s="1"/>
      <c r="AN960" s="1"/>
    </row>
    <row r="961" spans="16:40" ht="15.75" customHeight="1" x14ac:dyDescent="0.25">
      <c r="P961" s="1"/>
      <c r="Q961" s="1"/>
      <c r="R961" s="1"/>
      <c r="S961" s="1"/>
      <c r="T961" s="1"/>
      <c r="U961" s="1"/>
      <c r="V961" s="1"/>
      <c r="W961" s="1"/>
      <c r="X961" s="1"/>
      <c r="Y961" s="1"/>
      <c r="AH961" s="1"/>
      <c r="AI961" s="1"/>
      <c r="AJ961" s="1"/>
      <c r="AK961" s="1"/>
      <c r="AL961" s="1"/>
      <c r="AM961" s="1"/>
      <c r="AN961" s="1"/>
    </row>
    <row r="962" spans="16:40" ht="15.75" customHeight="1" x14ac:dyDescent="0.25">
      <c r="P962" s="1"/>
      <c r="Q962" s="1"/>
      <c r="R962" s="1"/>
      <c r="S962" s="1"/>
      <c r="T962" s="1"/>
      <c r="U962" s="1"/>
      <c r="V962" s="1"/>
      <c r="W962" s="1"/>
      <c r="X962" s="1"/>
      <c r="Y962" s="1"/>
      <c r="AH962" s="1"/>
      <c r="AI962" s="1"/>
      <c r="AJ962" s="1"/>
      <c r="AK962" s="1"/>
      <c r="AL962" s="1"/>
      <c r="AM962" s="1"/>
      <c r="AN962" s="1"/>
    </row>
    <row r="963" spans="16:40" ht="15.75" customHeight="1" x14ac:dyDescent="0.25">
      <c r="P963" s="1"/>
      <c r="Q963" s="1"/>
      <c r="R963" s="1"/>
      <c r="S963" s="1"/>
      <c r="T963" s="1"/>
      <c r="U963" s="1"/>
      <c r="V963" s="1"/>
      <c r="W963" s="1"/>
      <c r="X963" s="1"/>
      <c r="Y963" s="1"/>
      <c r="AH963" s="1"/>
      <c r="AI963" s="1"/>
      <c r="AJ963" s="1"/>
      <c r="AK963" s="1"/>
      <c r="AL963" s="1"/>
      <c r="AM963" s="1"/>
      <c r="AN963" s="1"/>
    </row>
    <row r="964" spans="16:40" ht="15.75" customHeight="1" x14ac:dyDescent="0.25">
      <c r="P964" s="1"/>
      <c r="Q964" s="1"/>
      <c r="R964" s="1"/>
      <c r="S964" s="1"/>
      <c r="T964" s="1"/>
      <c r="U964" s="1"/>
      <c r="V964" s="1"/>
      <c r="W964" s="1"/>
      <c r="X964" s="1"/>
      <c r="Y964" s="1"/>
      <c r="AH964" s="1"/>
      <c r="AI964" s="1"/>
      <c r="AJ964" s="1"/>
      <c r="AK964" s="1"/>
      <c r="AL964" s="1"/>
      <c r="AM964" s="1"/>
      <c r="AN964" s="1"/>
    </row>
    <row r="965" spans="16:40" ht="15.75" customHeight="1" x14ac:dyDescent="0.25">
      <c r="P965" s="1"/>
      <c r="Q965" s="1"/>
      <c r="R965" s="1"/>
      <c r="S965" s="1"/>
      <c r="T965" s="1"/>
      <c r="U965" s="1"/>
      <c r="V965" s="1"/>
      <c r="W965" s="1"/>
      <c r="X965" s="1"/>
      <c r="Y965" s="1"/>
      <c r="AH965" s="1"/>
      <c r="AI965" s="1"/>
      <c r="AJ965" s="1"/>
      <c r="AK965" s="1"/>
      <c r="AL965" s="1"/>
      <c r="AM965" s="1"/>
      <c r="AN965" s="1"/>
    </row>
    <row r="966" spans="16:40" ht="15.75" customHeight="1" x14ac:dyDescent="0.25">
      <c r="P966" s="1"/>
      <c r="Q966" s="1"/>
      <c r="R966" s="1"/>
      <c r="S966" s="1"/>
      <c r="T966" s="1"/>
      <c r="U966" s="1"/>
      <c r="V966" s="1"/>
      <c r="W966" s="1"/>
      <c r="X966" s="1"/>
      <c r="Y966" s="1"/>
      <c r="AH966" s="1"/>
      <c r="AI966" s="1"/>
      <c r="AJ966" s="1"/>
      <c r="AK966" s="1"/>
      <c r="AL966" s="1"/>
      <c r="AM966" s="1"/>
      <c r="AN966" s="1"/>
    </row>
    <row r="967" spans="16:40" ht="15.75" customHeight="1" x14ac:dyDescent="0.25">
      <c r="P967" s="1"/>
      <c r="Q967" s="1"/>
      <c r="R967" s="1"/>
      <c r="S967" s="1"/>
      <c r="T967" s="1"/>
      <c r="U967" s="1"/>
      <c r="V967" s="1"/>
      <c r="W967" s="1"/>
      <c r="X967" s="1"/>
      <c r="Y967" s="1"/>
      <c r="AH967" s="1"/>
      <c r="AI967" s="1"/>
      <c r="AJ967" s="1"/>
      <c r="AK967" s="1"/>
      <c r="AL967" s="1"/>
      <c r="AM967" s="1"/>
      <c r="AN967" s="1"/>
    </row>
    <row r="968" spans="16:40" ht="15.75" customHeight="1" x14ac:dyDescent="0.25">
      <c r="P968" s="1"/>
      <c r="Q968" s="1"/>
      <c r="R968" s="1"/>
      <c r="S968" s="1"/>
      <c r="T968" s="1"/>
      <c r="U968" s="1"/>
      <c r="V968" s="1"/>
      <c r="W968" s="1"/>
      <c r="X968" s="1"/>
      <c r="Y968" s="1"/>
      <c r="AH968" s="1"/>
      <c r="AI968" s="1"/>
      <c r="AJ968" s="1"/>
      <c r="AK968" s="1"/>
      <c r="AL968" s="1"/>
      <c r="AM968" s="1"/>
      <c r="AN968" s="1"/>
    </row>
    <row r="969" spans="16:40" ht="15.75" customHeight="1" x14ac:dyDescent="0.25">
      <c r="P969" s="1"/>
      <c r="Q969" s="1"/>
      <c r="R969" s="1"/>
      <c r="S969" s="1"/>
      <c r="T969" s="1"/>
      <c r="U969" s="1"/>
      <c r="V969" s="1"/>
      <c r="W969" s="1"/>
      <c r="X969" s="1"/>
      <c r="Y969" s="1"/>
      <c r="AH969" s="1"/>
      <c r="AI969" s="1"/>
      <c r="AJ969" s="1"/>
      <c r="AK969" s="1"/>
      <c r="AL969" s="1"/>
      <c r="AM969" s="1"/>
      <c r="AN969" s="1"/>
    </row>
    <row r="970" spans="16:40" ht="15.75" customHeight="1" x14ac:dyDescent="0.25">
      <c r="P970" s="1"/>
      <c r="Q970" s="1"/>
      <c r="R970" s="1"/>
      <c r="S970" s="1"/>
      <c r="T970" s="1"/>
      <c r="U970" s="1"/>
      <c r="V970" s="1"/>
      <c r="W970" s="1"/>
      <c r="X970" s="1"/>
      <c r="Y970" s="1"/>
      <c r="AH970" s="1"/>
      <c r="AI970" s="1"/>
      <c r="AJ970" s="1"/>
      <c r="AK970" s="1"/>
      <c r="AL970" s="1"/>
      <c r="AM970" s="1"/>
      <c r="AN970" s="1"/>
    </row>
    <row r="971" spans="16:40" ht="15.75" customHeight="1" x14ac:dyDescent="0.25">
      <c r="P971" s="1"/>
      <c r="Q971" s="1"/>
      <c r="R971" s="1"/>
      <c r="S971" s="1"/>
      <c r="T971" s="1"/>
      <c r="U971" s="1"/>
      <c r="V971" s="1"/>
      <c r="W971" s="1"/>
      <c r="X971" s="1"/>
      <c r="Y971" s="1"/>
      <c r="AH971" s="1"/>
      <c r="AI971" s="1"/>
      <c r="AJ971" s="1"/>
      <c r="AK971" s="1"/>
      <c r="AL971" s="1"/>
      <c r="AM971" s="1"/>
      <c r="AN971" s="1"/>
    </row>
    <row r="972" spans="16:40" ht="15.75" customHeight="1" x14ac:dyDescent="0.25">
      <c r="P972" s="1"/>
      <c r="Q972" s="1"/>
      <c r="R972" s="1"/>
      <c r="S972" s="1"/>
      <c r="T972" s="1"/>
      <c r="U972" s="1"/>
      <c r="V972" s="1"/>
      <c r="W972" s="1"/>
      <c r="X972" s="1"/>
      <c r="Y972" s="1"/>
      <c r="AH972" s="1"/>
      <c r="AI972" s="1"/>
      <c r="AJ972" s="1"/>
      <c r="AK972" s="1"/>
      <c r="AL972" s="1"/>
      <c r="AM972" s="1"/>
      <c r="AN972" s="1"/>
    </row>
    <row r="973" spans="16:40" ht="15.75" customHeight="1" x14ac:dyDescent="0.25">
      <c r="P973" s="1"/>
      <c r="Q973" s="1"/>
      <c r="R973" s="1"/>
      <c r="S973" s="1"/>
      <c r="T973" s="1"/>
      <c r="U973" s="1"/>
      <c r="V973" s="1"/>
      <c r="W973" s="1"/>
      <c r="X973" s="1"/>
      <c r="Y973" s="1"/>
      <c r="AH973" s="1"/>
      <c r="AI973" s="1"/>
      <c r="AJ973" s="1"/>
      <c r="AK973" s="1"/>
      <c r="AL973" s="1"/>
      <c r="AM973" s="1"/>
      <c r="AN973" s="1"/>
    </row>
    <row r="974" spans="16:40" ht="15.75" customHeight="1" x14ac:dyDescent="0.25">
      <c r="P974" s="1"/>
      <c r="Q974" s="1"/>
      <c r="R974" s="1"/>
      <c r="S974" s="1"/>
      <c r="T974" s="1"/>
      <c r="U974" s="1"/>
      <c r="V974" s="1"/>
      <c r="W974" s="1"/>
      <c r="X974" s="1"/>
      <c r="Y974" s="1"/>
      <c r="AH974" s="1"/>
      <c r="AI974" s="1"/>
      <c r="AJ974" s="1"/>
      <c r="AK974" s="1"/>
      <c r="AL974" s="1"/>
      <c r="AM974" s="1"/>
      <c r="AN974" s="1"/>
    </row>
    <row r="975" spans="16:40" ht="15.75" customHeight="1" x14ac:dyDescent="0.25">
      <c r="P975" s="1"/>
      <c r="Q975" s="1"/>
      <c r="R975" s="1"/>
      <c r="S975" s="1"/>
      <c r="T975" s="1"/>
      <c r="U975" s="1"/>
      <c r="V975" s="1"/>
      <c r="W975" s="1"/>
      <c r="X975" s="1"/>
      <c r="Y975" s="1"/>
      <c r="AH975" s="1"/>
      <c r="AI975" s="1"/>
      <c r="AJ975" s="1"/>
      <c r="AK975" s="1"/>
      <c r="AL975" s="1"/>
      <c r="AM975" s="1"/>
      <c r="AN975" s="1"/>
    </row>
    <row r="976" spans="16:40" ht="15.75" customHeight="1" x14ac:dyDescent="0.25">
      <c r="P976" s="1"/>
      <c r="Q976" s="1"/>
      <c r="R976" s="1"/>
      <c r="S976" s="1"/>
      <c r="T976" s="1"/>
      <c r="U976" s="1"/>
      <c r="V976" s="1"/>
      <c r="W976" s="1"/>
      <c r="X976" s="1"/>
      <c r="Y976" s="1"/>
      <c r="AH976" s="1"/>
      <c r="AI976" s="1"/>
      <c r="AJ976" s="1"/>
      <c r="AK976" s="1"/>
      <c r="AL976" s="1"/>
      <c r="AM976" s="1"/>
      <c r="AN976" s="1"/>
    </row>
    <row r="977" spans="16:40" ht="15.75" customHeight="1" x14ac:dyDescent="0.25">
      <c r="P977" s="1"/>
      <c r="Q977" s="1"/>
      <c r="R977" s="1"/>
      <c r="S977" s="1"/>
      <c r="T977" s="1"/>
      <c r="U977" s="1"/>
      <c r="V977" s="1"/>
      <c r="W977" s="1"/>
      <c r="X977" s="1"/>
      <c r="Y977" s="1"/>
      <c r="AH977" s="1"/>
      <c r="AI977" s="1"/>
      <c r="AJ977" s="1"/>
      <c r="AK977" s="1"/>
      <c r="AL977" s="1"/>
      <c r="AM977" s="1"/>
      <c r="AN977" s="1"/>
    </row>
    <row r="978" spans="16:40" ht="15.75" customHeight="1" x14ac:dyDescent="0.25">
      <c r="P978" s="1"/>
      <c r="Q978" s="1"/>
      <c r="R978" s="1"/>
      <c r="S978" s="1"/>
      <c r="T978" s="1"/>
      <c r="U978" s="1"/>
      <c r="V978" s="1"/>
      <c r="W978" s="1"/>
      <c r="X978" s="1"/>
      <c r="Y978" s="1"/>
      <c r="AH978" s="1"/>
      <c r="AI978" s="1"/>
      <c r="AJ978" s="1"/>
      <c r="AK978" s="1"/>
      <c r="AL978" s="1"/>
      <c r="AM978" s="1"/>
      <c r="AN978" s="1"/>
    </row>
    <row r="979" spans="16:40" ht="15.75" customHeight="1" x14ac:dyDescent="0.25">
      <c r="P979" s="1"/>
      <c r="Q979" s="1"/>
      <c r="R979" s="1"/>
      <c r="S979" s="1"/>
      <c r="T979" s="1"/>
      <c r="U979" s="1"/>
      <c r="V979" s="1"/>
      <c r="W979" s="1"/>
      <c r="X979" s="1"/>
      <c r="Y979" s="1"/>
      <c r="AH979" s="1"/>
      <c r="AI979" s="1"/>
      <c r="AJ979" s="1"/>
      <c r="AK979" s="1"/>
      <c r="AL979" s="1"/>
      <c r="AM979" s="1"/>
      <c r="AN979" s="1"/>
    </row>
    <row r="980" spans="16:40" ht="15.75" customHeight="1" x14ac:dyDescent="0.25">
      <c r="P980" s="1"/>
      <c r="Q980" s="1"/>
      <c r="R980" s="1"/>
      <c r="S980" s="1"/>
      <c r="T980" s="1"/>
      <c r="U980" s="1"/>
      <c r="V980" s="1"/>
      <c r="W980" s="1"/>
      <c r="X980" s="1"/>
      <c r="Y980" s="1"/>
      <c r="AH980" s="1"/>
      <c r="AI980" s="1"/>
      <c r="AJ980" s="1"/>
      <c r="AK980" s="1"/>
      <c r="AL980" s="1"/>
      <c r="AM980" s="1"/>
      <c r="AN980" s="1"/>
    </row>
    <row r="981" spans="16:40" ht="15.75" customHeight="1" x14ac:dyDescent="0.25">
      <c r="P981" s="1"/>
      <c r="Q981" s="1"/>
      <c r="R981" s="1"/>
      <c r="S981" s="1"/>
      <c r="T981" s="1"/>
      <c r="U981" s="1"/>
      <c r="V981" s="1"/>
      <c r="W981" s="1"/>
      <c r="X981" s="1"/>
      <c r="Y981" s="1"/>
      <c r="AH981" s="1"/>
      <c r="AI981" s="1"/>
      <c r="AJ981" s="1"/>
      <c r="AK981" s="1"/>
      <c r="AL981" s="1"/>
      <c r="AM981" s="1"/>
      <c r="AN981" s="1"/>
    </row>
    <row r="982" spans="16:40" ht="15.75" customHeight="1" x14ac:dyDescent="0.25">
      <c r="P982" s="1"/>
      <c r="Q982" s="1"/>
      <c r="R982" s="1"/>
      <c r="S982" s="1"/>
      <c r="T982" s="1"/>
      <c r="U982" s="1"/>
      <c r="V982" s="1"/>
      <c r="W982" s="1"/>
      <c r="X982" s="1"/>
      <c r="Y982" s="1"/>
      <c r="AH982" s="1"/>
      <c r="AI982" s="1"/>
      <c r="AJ982" s="1"/>
      <c r="AK982" s="1"/>
      <c r="AL982" s="1"/>
      <c r="AM982" s="1"/>
      <c r="AN982" s="1"/>
    </row>
    <row r="983" spans="16:40" ht="15.75" customHeight="1" x14ac:dyDescent="0.25">
      <c r="P983" s="1"/>
      <c r="Q983" s="1"/>
      <c r="R983" s="1"/>
      <c r="S983" s="1"/>
      <c r="T983" s="1"/>
      <c r="U983" s="1"/>
      <c r="V983" s="1"/>
      <c r="W983" s="1"/>
      <c r="X983" s="1"/>
      <c r="Y983" s="1"/>
      <c r="AH983" s="1"/>
      <c r="AI983" s="1"/>
      <c r="AJ983" s="1"/>
      <c r="AK983" s="1"/>
      <c r="AL983" s="1"/>
      <c r="AM983" s="1"/>
      <c r="AN983" s="1"/>
    </row>
    <row r="984" spans="16:40" ht="15.75" customHeight="1" x14ac:dyDescent="0.25">
      <c r="P984" s="1"/>
      <c r="Q984" s="1"/>
      <c r="R984" s="1"/>
      <c r="S984" s="1"/>
      <c r="T984" s="1"/>
      <c r="U984" s="1"/>
      <c r="V984" s="1"/>
      <c r="W984" s="1"/>
      <c r="X984" s="1"/>
      <c r="Y984" s="1"/>
      <c r="AH984" s="1"/>
      <c r="AI984" s="1"/>
      <c r="AJ984" s="1"/>
      <c r="AK984" s="1"/>
      <c r="AL984" s="1"/>
      <c r="AM984" s="1"/>
      <c r="AN984" s="1"/>
    </row>
    <row r="985" spans="16:40" ht="15.75" customHeight="1" x14ac:dyDescent="0.25">
      <c r="P985" s="1"/>
      <c r="Q985" s="1"/>
      <c r="R985" s="1"/>
      <c r="S985" s="1"/>
      <c r="T985" s="1"/>
      <c r="U985" s="1"/>
      <c r="V985" s="1"/>
      <c r="W985" s="1"/>
      <c r="X985" s="1"/>
      <c r="Y985" s="1"/>
      <c r="AH985" s="1"/>
      <c r="AI985" s="1"/>
      <c r="AJ985" s="1"/>
      <c r="AK985" s="1"/>
      <c r="AL985" s="1"/>
      <c r="AM985" s="1"/>
      <c r="AN985" s="1"/>
    </row>
    <row r="986" spans="16:40" ht="15.75" customHeight="1" x14ac:dyDescent="0.25">
      <c r="P986" s="1"/>
      <c r="Q986" s="1"/>
      <c r="R986" s="1"/>
      <c r="S986" s="1"/>
      <c r="T986" s="1"/>
      <c r="U986" s="1"/>
      <c r="V986" s="1"/>
      <c r="W986" s="1"/>
      <c r="X986" s="1"/>
      <c r="Y986" s="1"/>
      <c r="AH986" s="1"/>
      <c r="AI986" s="1"/>
      <c r="AJ986" s="1"/>
      <c r="AK986" s="1"/>
      <c r="AL986" s="1"/>
      <c r="AM986" s="1"/>
      <c r="AN986" s="1"/>
    </row>
    <row r="987" spans="16:40" ht="15.75" customHeight="1" x14ac:dyDescent="0.25">
      <c r="P987" s="1"/>
      <c r="Q987" s="1"/>
      <c r="R987" s="1"/>
      <c r="S987" s="1"/>
      <c r="T987" s="1"/>
      <c r="U987" s="1"/>
      <c r="V987" s="1"/>
      <c r="W987" s="1"/>
      <c r="X987" s="1"/>
      <c r="Y987" s="1"/>
      <c r="AH987" s="1"/>
      <c r="AI987" s="1"/>
      <c r="AJ987" s="1"/>
      <c r="AK987" s="1"/>
      <c r="AL987" s="1"/>
      <c r="AM987" s="1"/>
      <c r="AN987" s="1"/>
    </row>
    <row r="988" spans="16:40" ht="15.75" customHeight="1" x14ac:dyDescent="0.25">
      <c r="P988" s="1"/>
      <c r="Q988" s="1"/>
      <c r="R988" s="1"/>
      <c r="S988" s="1"/>
      <c r="T988" s="1"/>
      <c r="U988" s="1"/>
      <c r="V988" s="1"/>
      <c r="W988" s="1"/>
      <c r="X988" s="1"/>
      <c r="Y988" s="1"/>
      <c r="AH988" s="1"/>
      <c r="AI988" s="1"/>
      <c r="AJ988" s="1"/>
      <c r="AK988" s="1"/>
      <c r="AL988" s="1"/>
      <c r="AM988" s="1"/>
      <c r="AN988" s="1"/>
    </row>
    <row r="989" spans="16:40" ht="15.75" customHeight="1" x14ac:dyDescent="0.25">
      <c r="P989" s="1"/>
      <c r="Q989" s="1"/>
      <c r="R989" s="1"/>
      <c r="S989" s="1"/>
      <c r="T989" s="1"/>
      <c r="U989" s="1"/>
      <c r="V989" s="1"/>
      <c r="W989" s="1"/>
      <c r="X989" s="1"/>
      <c r="Y989" s="1"/>
      <c r="AH989" s="1"/>
      <c r="AI989" s="1"/>
      <c r="AJ989" s="1"/>
      <c r="AK989" s="1"/>
      <c r="AL989" s="1"/>
      <c r="AM989" s="1"/>
      <c r="AN989" s="1"/>
    </row>
    <row r="990" spans="16:40" ht="15.75" customHeight="1" x14ac:dyDescent="0.25">
      <c r="P990" s="1"/>
      <c r="Q990" s="1"/>
      <c r="R990" s="1"/>
      <c r="S990" s="1"/>
      <c r="T990" s="1"/>
      <c r="U990" s="1"/>
      <c r="V990" s="1"/>
      <c r="W990" s="1"/>
      <c r="X990" s="1"/>
      <c r="Y990" s="1"/>
      <c r="AH990" s="1"/>
      <c r="AI990" s="1"/>
      <c r="AJ990" s="1"/>
      <c r="AK990" s="1"/>
      <c r="AL990" s="1"/>
      <c r="AM990" s="1"/>
      <c r="AN990" s="1"/>
    </row>
    <row r="991" spans="16:40" ht="15.75" customHeight="1" x14ac:dyDescent="0.25">
      <c r="P991" s="1"/>
      <c r="Q991" s="1"/>
      <c r="R991" s="1"/>
      <c r="S991" s="1"/>
      <c r="T991" s="1"/>
      <c r="U991" s="1"/>
      <c r="V991" s="1"/>
      <c r="W991" s="1"/>
      <c r="X991" s="1"/>
      <c r="Y991" s="1"/>
      <c r="AH991" s="1"/>
      <c r="AI991" s="1"/>
      <c r="AJ991" s="1"/>
      <c r="AK991" s="1"/>
      <c r="AL991" s="1"/>
      <c r="AM991" s="1"/>
      <c r="AN991" s="1"/>
    </row>
    <row r="992" spans="16:40" ht="15.75" customHeight="1" x14ac:dyDescent="0.25">
      <c r="P992" s="1"/>
      <c r="Q992" s="1"/>
      <c r="R992" s="1"/>
      <c r="S992" s="1"/>
      <c r="T992" s="1"/>
      <c r="U992" s="1"/>
      <c r="V992" s="1"/>
      <c r="W992" s="1"/>
      <c r="X992" s="1"/>
      <c r="Y992" s="1"/>
      <c r="AH992" s="1"/>
      <c r="AI992" s="1"/>
      <c r="AJ992" s="1"/>
      <c r="AK992" s="1"/>
      <c r="AL992" s="1"/>
      <c r="AM992" s="1"/>
      <c r="AN992" s="1"/>
    </row>
    <row r="993" spans="16:40" ht="15.75" customHeight="1" x14ac:dyDescent="0.25">
      <c r="P993" s="1"/>
      <c r="Q993" s="1"/>
      <c r="R993" s="1"/>
      <c r="S993" s="1"/>
      <c r="T993" s="1"/>
      <c r="U993" s="1"/>
      <c r="V993" s="1"/>
      <c r="W993" s="1"/>
      <c r="X993" s="1"/>
      <c r="Y993" s="1"/>
      <c r="AH993" s="1"/>
      <c r="AI993" s="1"/>
      <c r="AJ993" s="1"/>
      <c r="AK993" s="1"/>
      <c r="AL993" s="1"/>
      <c r="AM993" s="1"/>
      <c r="AN993" s="1"/>
    </row>
    <row r="994" spans="16:40" ht="15.75" customHeight="1" x14ac:dyDescent="0.25">
      <c r="P994" s="1"/>
      <c r="Q994" s="1"/>
      <c r="R994" s="1"/>
      <c r="S994" s="1"/>
      <c r="T994" s="1"/>
      <c r="U994" s="1"/>
      <c r="V994" s="1"/>
      <c r="W994" s="1"/>
      <c r="X994" s="1"/>
      <c r="Y994" s="1"/>
      <c r="AH994" s="1"/>
      <c r="AI994" s="1"/>
      <c r="AJ994" s="1"/>
      <c r="AK994" s="1"/>
      <c r="AL994" s="1"/>
      <c r="AM994" s="1"/>
      <c r="AN994" s="1"/>
    </row>
    <row r="995" spans="16:40" ht="15.75" customHeight="1" x14ac:dyDescent="0.25">
      <c r="P995" s="1"/>
      <c r="Q995" s="1"/>
      <c r="R995" s="1"/>
      <c r="S995" s="1"/>
      <c r="T995" s="1"/>
      <c r="U995" s="1"/>
      <c r="V995" s="1"/>
      <c r="W995" s="1"/>
      <c r="X995" s="1"/>
      <c r="Y995" s="1"/>
      <c r="AH995" s="1"/>
      <c r="AI995" s="1"/>
      <c r="AJ995" s="1"/>
      <c r="AK995" s="1"/>
      <c r="AL995" s="1"/>
      <c r="AM995" s="1"/>
      <c r="AN995" s="1"/>
    </row>
    <row r="996" spans="16:40" ht="15.75" customHeight="1" x14ac:dyDescent="0.25">
      <c r="P996" s="1"/>
      <c r="Q996" s="1"/>
      <c r="R996" s="1"/>
      <c r="S996" s="1"/>
      <c r="T996" s="1"/>
      <c r="U996" s="1"/>
      <c r="V996" s="1"/>
      <c r="W996" s="1"/>
      <c r="X996" s="1"/>
      <c r="Y996" s="1"/>
      <c r="AH996" s="1"/>
      <c r="AI996" s="1"/>
      <c r="AJ996" s="1"/>
      <c r="AK996" s="1"/>
      <c r="AL996" s="1"/>
      <c r="AM996" s="1"/>
      <c r="AN996" s="1"/>
    </row>
    <row r="997" spans="16:40" ht="15.75" customHeight="1" x14ac:dyDescent="0.25">
      <c r="P997" s="1"/>
      <c r="Q997" s="1"/>
      <c r="R997" s="1"/>
      <c r="S997" s="1"/>
      <c r="T997" s="1"/>
      <c r="U997" s="1"/>
      <c r="V997" s="1"/>
      <c r="W997" s="1"/>
      <c r="X997" s="1"/>
      <c r="Y997" s="1"/>
      <c r="AH997" s="1"/>
      <c r="AI997" s="1"/>
      <c r="AJ997" s="1"/>
      <c r="AK997" s="1"/>
      <c r="AL997" s="1"/>
      <c r="AM997" s="1"/>
      <c r="AN997" s="1"/>
    </row>
    <row r="998" spans="16:40" ht="15.75" customHeight="1" x14ac:dyDescent="0.25">
      <c r="P998" s="1"/>
      <c r="Q998" s="1"/>
      <c r="R998" s="1"/>
      <c r="S998" s="1"/>
      <c r="T998" s="1"/>
      <c r="U998" s="1"/>
      <c r="V998" s="1"/>
      <c r="W998" s="1"/>
      <c r="X998" s="1"/>
      <c r="Y998" s="1"/>
      <c r="AH998" s="1"/>
      <c r="AI998" s="1"/>
      <c r="AJ998" s="1"/>
      <c r="AK998" s="1"/>
      <c r="AL998" s="1"/>
      <c r="AM998" s="1"/>
      <c r="AN998" s="1"/>
    </row>
    <row r="999" spans="16:40" ht="15.75" customHeight="1" x14ac:dyDescent="0.25">
      <c r="P999" s="1"/>
      <c r="Q999" s="1"/>
      <c r="R999" s="1"/>
      <c r="S999" s="1"/>
      <c r="T999" s="1"/>
      <c r="U999" s="1"/>
      <c r="V999" s="1"/>
      <c r="W999" s="1"/>
      <c r="X999" s="1"/>
      <c r="Y999" s="1"/>
      <c r="AH999" s="1"/>
      <c r="AI999" s="1"/>
      <c r="AJ999" s="1"/>
      <c r="AK999" s="1"/>
      <c r="AL999" s="1"/>
      <c r="AM999" s="1"/>
      <c r="AN999" s="1"/>
    </row>
    <row r="1000" spans="16:40" ht="15.75" customHeight="1" x14ac:dyDescent="0.25"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AH1000" s="1"/>
      <c r="AI1000" s="1"/>
      <c r="AJ1000" s="1"/>
      <c r="AK1000" s="1"/>
      <c r="AL1000" s="1"/>
      <c r="AM1000" s="1"/>
      <c r="AN1000" s="1"/>
    </row>
  </sheetData>
  <mergeCells count="121">
    <mergeCell ref="AF2:AF4"/>
    <mergeCell ref="AG2:AG4"/>
    <mergeCell ref="AH3:AN3"/>
    <mergeCell ref="AE5:AE19"/>
    <mergeCell ref="AF5:AF19"/>
    <mergeCell ref="AG5:AG19"/>
    <mergeCell ref="AH11:AN11"/>
    <mergeCell ref="S36:Y36"/>
    <mergeCell ref="S62:Y62"/>
    <mergeCell ref="S11:Y11"/>
    <mergeCell ref="AE2:AE4"/>
    <mergeCell ref="S3:Y3"/>
    <mergeCell ref="D12:J12"/>
    <mergeCell ref="D20:J20"/>
    <mergeCell ref="D29:J29"/>
    <mergeCell ref="B2:B4"/>
    <mergeCell ref="C2:C4"/>
    <mergeCell ref="D2:D3"/>
    <mergeCell ref="E2:E3"/>
    <mergeCell ref="F2:F3"/>
    <mergeCell ref="G2:G3"/>
    <mergeCell ref="D4:J4"/>
    <mergeCell ref="P5:P18"/>
    <mergeCell ref="Q5:Q18"/>
    <mergeCell ref="R5:R18"/>
    <mergeCell ref="P19:P35"/>
    <mergeCell ref="Q19:Q35"/>
    <mergeCell ref="R19:R35"/>
    <mergeCell ref="AH96:AN96"/>
    <mergeCell ref="AH104:AN104"/>
    <mergeCell ref="AH113:AN113"/>
    <mergeCell ref="AH19:AN19"/>
    <mergeCell ref="AH28:AN28"/>
    <mergeCell ref="AH36:AN36"/>
    <mergeCell ref="AH45:AN45"/>
    <mergeCell ref="AH53:AN53"/>
    <mergeCell ref="AH62:AN62"/>
    <mergeCell ref="AH70:AN70"/>
    <mergeCell ref="AH79:AN79"/>
    <mergeCell ref="AH87:AN87"/>
    <mergeCell ref="S88:Y88"/>
    <mergeCell ref="S97:Y97"/>
    <mergeCell ref="AE104:AE120"/>
    <mergeCell ref="AF104:AF120"/>
    <mergeCell ref="AG104:AG120"/>
    <mergeCell ref="S105:Y105"/>
    <mergeCell ref="S114:Y114"/>
    <mergeCell ref="AE70:AE86"/>
    <mergeCell ref="AF70:AF86"/>
    <mergeCell ref="AG70:AG86"/>
    <mergeCell ref="S80:Y80"/>
    <mergeCell ref="AE87:AE103"/>
    <mergeCell ref="AF87:AF103"/>
    <mergeCell ref="AG87:AG103"/>
    <mergeCell ref="S70:Y70"/>
    <mergeCell ref="S28:Y28"/>
    <mergeCell ref="S45:Y45"/>
    <mergeCell ref="S19:Y19"/>
    <mergeCell ref="AE20:AE35"/>
    <mergeCell ref="AF20:AF35"/>
    <mergeCell ref="AG20:AG35"/>
    <mergeCell ref="AF36:AF52"/>
    <mergeCell ref="AG36:AG52"/>
    <mergeCell ref="S53:Y53"/>
    <mergeCell ref="AE36:AE52"/>
    <mergeCell ref="AE53:AE69"/>
    <mergeCell ref="AF53:AF69"/>
    <mergeCell ref="AG53:AG69"/>
    <mergeCell ref="A105:A122"/>
    <mergeCell ref="B105:B122"/>
    <mergeCell ref="C105:C122"/>
    <mergeCell ref="P105:P121"/>
    <mergeCell ref="Q105:Q121"/>
    <mergeCell ref="R105:R121"/>
    <mergeCell ref="D106:J106"/>
    <mergeCell ref="D115:J115"/>
    <mergeCell ref="A2:A4"/>
    <mergeCell ref="A5:A19"/>
    <mergeCell ref="B5:B19"/>
    <mergeCell ref="C5:C19"/>
    <mergeCell ref="A20:A35"/>
    <mergeCell ref="B20:B35"/>
    <mergeCell ref="C20:C35"/>
    <mergeCell ref="H2:H3"/>
    <mergeCell ref="I2:I3"/>
    <mergeCell ref="J2:J3"/>
    <mergeCell ref="P2:P4"/>
    <mergeCell ref="Q2:Q4"/>
    <mergeCell ref="R2:R4"/>
    <mergeCell ref="A70:A87"/>
    <mergeCell ref="B70:B87"/>
    <mergeCell ref="C70:C87"/>
    <mergeCell ref="P70:P87"/>
    <mergeCell ref="Q70:Q87"/>
    <mergeCell ref="R70:R87"/>
    <mergeCell ref="D71:J71"/>
    <mergeCell ref="D81:J81"/>
    <mergeCell ref="A88:A104"/>
    <mergeCell ref="B88:B104"/>
    <mergeCell ref="C88:C104"/>
    <mergeCell ref="P88:P104"/>
    <mergeCell ref="Q88:Q104"/>
    <mergeCell ref="R88:R104"/>
    <mergeCell ref="D89:J89"/>
    <mergeCell ref="D98:J98"/>
    <mergeCell ref="A36:A52"/>
    <mergeCell ref="B36:B52"/>
    <mergeCell ref="C36:C52"/>
    <mergeCell ref="P36:P52"/>
    <mergeCell ref="Q36:Q52"/>
    <mergeCell ref="R36:R52"/>
    <mergeCell ref="D37:J37"/>
    <mergeCell ref="D46:J46"/>
    <mergeCell ref="A53:A69"/>
    <mergeCell ref="B53:B69"/>
    <mergeCell ref="C53:C69"/>
    <mergeCell ref="P53:P69"/>
    <mergeCell ref="Q53:Q69"/>
    <mergeCell ref="R53:R69"/>
    <mergeCell ref="D54:J54"/>
    <mergeCell ref="D63:J6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ZAMANTHA FLORES LOZADA</dc:creator>
  <cp:lastModifiedBy>Said</cp:lastModifiedBy>
  <dcterms:created xsi:type="dcterms:W3CDTF">2025-06-02T18:50:12Z</dcterms:created>
  <dcterms:modified xsi:type="dcterms:W3CDTF">2026-02-05T20:14:02Z</dcterms:modified>
</cp:coreProperties>
</file>